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DEA39288299D1CE/Documents/"/>
    </mc:Choice>
  </mc:AlternateContent>
  <xr:revisionPtr revIDLastSave="0" documentId="8_{D4A27DCF-A146-4065-810B-B1178D2600B8}" xr6:coauthVersionLast="47" xr6:coauthVersionMax="47" xr10:uidLastSave="{00000000-0000-0000-0000-000000000000}"/>
  <bookViews>
    <workbookView xWindow="-108" yWindow="-108" windowWidth="23256" windowHeight="12456" firstSheet="3" activeTab="3" xr2:uid="{02088A3E-9193-4CDE-A9FC-E2842A494508}"/>
  </bookViews>
  <sheets>
    <sheet name="CPU DATA" sheetId="1" state="hidden" r:id="rId1"/>
    <sheet name="GPU DATA" sheetId="2" state="hidden" r:id="rId2"/>
    <sheet name="MOTHERBOARD DATA" sheetId="6" state="hidden" r:id="rId3"/>
    <sheet name="PC BUILDING HELPER" sheetId="8" r:id="rId4"/>
    <sheet name="helper sheet" sheetId="7" state="hidden" r:id="rId5"/>
  </sheets>
  <definedNames>
    <definedName name="BIGTHREE">'helper sheet'!$A$1</definedName>
    <definedName name="CPU_GPU">'helper sheet'!$A$1</definedName>
    <definedName name="CPU_GPU_TDP">'helper sheet'!$A$10</definedName>
    <definedName name="CPU_NAME">'PC BUILDING HELPER'!$G$4</definedName>
    <definedName name="CPU_PRICE">'PC BUILDING HELPER'!$K$7</definedName>
    <definedName name="CPU_TDP">'PC BUILDING HELPER'!$K$8</definedName>
    <definedName name="GPU_NAME">'PC BUILDING HELPER'!$P$4</definedName>
    <definedName name="GPU_PRICE">'PC BUILDING HELPER'!$O$7</definedName>
    <definedName name="GPU_TDP">'PC BUILDING HELPER'!$O$8</definedName>
    <definedName name="MOTHERBOARD_PRICE">'PC BUILDING HELPER'!$O$12</definedName>
    <definedName name="RAM_PRICE">'PC BUILDING HELPER'!$O$13</definedName>
    <definedName name="SSD_PRICE">'PC BUILDING HELPER'!$O$14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8" l="1"/>
  <c r="O9" i="8"/>
  <c r="O8" i="8"/>
  <c r="O7" i="8"/>
  <c r="K9" i="8"/>
  <c r="L12" i="8" s="1"/>
  <c r="L13" i="8" s="1"/>
  <c r="K8" i="8"/>
  <c r="A10" i="7" l="1"/>
  <c r="I17" i="8" s="1"/>
  <c r="N12" i="8"/>
  <c r="O12" i="8"/>
  <c r="A1" i="7" s="1"/>
  <c r="N17" i="8" l="1"/>
  <c r="N13" i="8"/>
  <c r="O13" i="8" s="1"/>
  <c r="M21" i="8" s="1"/>
  <c r="N14" i="8"/>
  <c r="O14" i="8" s="1"/>
</calcChain>
</file>

<file path=xl/sharedStrings.xml><?xml version="1.0" encoding="utf-8"?>
<sst xmlns="http://schemas.openxmlformats.org/spreadsheetml/2006/main" count="586" uniqueCount="240">
  <si>
    <t>SOCKET</t>
  </si>
  <si>
    <t>A320, A520, B350, B450, B550, X370, X470, X570</t>
  </si>
  <si>
    <t>Socket</t>
  </si>
  <si>
    <t>AM4</t>
  </si>
  <si>
    <t>AM5</t>
  </si>
  <si>
    <t>Ryzen 5 8500G</t>
  </si>
  <si>
    <t>A620, B650, B650E, B840, B850, X670, X670E, X870, X870E</t>
  </si>
  <si>
    <t>GPU Name</t>
  </si>
  <si>
    <t>Release Dates</t>
  </si>
  <si>
    <t>$249</t>
  </si>
  <si>
    <t>$329</t>
  </si>
  <si>
    <t>$399</t>
  </si>
  <si>
    <t>$499</t>
  </si>
  <si>
    <t>$199</t>
  </si>
  <si>
    <t>$299</t>
  </si>
  <si>
    <t>$159</t>
  </si>
  <si>
    <t>$749</t>
  </si>
  <si>
    <t>$359</t>
  </si>
  <si>
    <t>$449</t>
  </si>
  <si>
    <t>$429</t>
  </si>
  <si>
    <t>$549</t>
  </si>
  <si>
    <t>$799</t>
  </si>
  <si>
    <t>$599</t>
  </si>
  <si>
    <t>$699</t>
  </si>
  <si>
    <t>$479</t>
  </si>
  <si>
    <t>$649</t>
  </si>
  <si>
    <t>Price</t>
  </si>
  <si>
    <t>Ryzen 5 5500</t>
  </si>
  <si>
    <t>Ryzen 5 5500GT</t>
  </si>
  <si>
    <t>Ryzen 5 5600</t>
  </si>
  <si>
    <t>Ryzen 5 5600G</t>
  </si>
  <si>
    <t>Ryzen 5 5600GT</t>
  </si>
  <si>
    <t>Ryzen 5 5600X</t>
  </si>
  <si>
    <t>Ryzen 7 5700</t>
  </si>
  <si>
    <t>Ryzen 7 5700G</t>
  </si>
  <si>
    <t>Ryzen 7 5700X</t>
  </si>
  <si>
    <t>Ryzen 7 5700X3D</t>
  </si>
  <si>
    <t>Ryzen 7 5800X</t>
  </si>
  <si>
    <t>Ryzen 7 5800X3D</t>
  </si>
  <si>
    <t>Ryzen 7 5800XT</t>
  </si>
  <si>
    <t>Ryzen 9 5900X</t>
  </si>
  <si>
    <t>Ryzen 9 5900XT</t>
  </si>
  <si>
    <t>Ryzen 9 5950X</t>
  </si>
  <si>
    <t>Ryzen 5 7600</t>
  </si>
  <si>
    <t>Ryzen 5 7600X</t>
  </si>
  <si>
    <t>Ryzen 7 7700</t>
  </si>
  <si>
    <t>Ryzen 7 7700X</t>
  </si>
  <si>
    <t>Ryzen 7 7800X3D</t>
  </si>
  <si>
    <t>Ryzen 9 7900</t>
  </si>
  <si>
    <t>Ryzen 9 7900X</t>
  </si>
  <si>
    <t>Ryzen 9 7900X3D</t>
  </si>
  <si>
    <t>Ryzen 9 7950X</t>
  </si>
  <si>
    <t>Ryzen 9 7950X3D</t>
  </si>
  <si>
    <t>Ryzen 7 8700G</t>
  </si>
  <si>
    <t>Ryzen 5 9600X</t>
  </si>
  <si>
    <t>Ryzen 7 9700X</t>
  </si>
  <si>
    <t>Ryzen 7 9800X3D</t>
  </si>
  <si>
    <t>Ryzen 9 9900X</t>
  </si>
  <si>
    <t>Ryzen 9 9950X</t>
  </si>
  <si>
    <t>Ryzen 9 9950X3D</t>
  </si>
  <si>
    <t>Processors</t>
  </si>
  <si>
    <t>Company</t>
  </si>
  <si>
    <t>Nvidia</t>
  </si>
  <si>
    <t>AMD</t>
  </si>
  <si>
    <t>Release Date</t>
  </si>
  <si>
    <t>$999</t>
  </si>
  <si>
    <t>$379</t>
  </si>
  <si>
    <t>$349</t>
  </si>
  <si>
    <t>$1,199</t>
  </si>
  <si>
    <t>$2,499</t>
  </si>
  <si>
    <t>$1,499</t>
  </si>
  <si>
    <t>$1,999</t>
  </si>
  <si>
    <t>$1,599</t>
  </si>
  <si>
    <t>$579</t>
  </si>
  <si>
    <t>$1,099</t>
  </si>
  <si>
    <t>$269</t>
  </si>
  <si>
    <t>$899</t>
  </si>
  <si>
    <t>VRAM</t>
  </si>
  <si>
    <t>4GB</t>
  </si>
  <si>
    <t>6GB</t>
  </si>
  <si>
    <t>12GB</t>
  </si>
  <si>
    <t>8GB</t>
  </si>
  <si>
    <t>11GB</t>
  </si>
  <si>
    <t>24GB</t>
  </si>
  <si>
    <t>10GB</t>
  </si>
  <si>
    <t>16GB</t>
  </si>
  <si>
    <t>32GB</t>
  </si>
  <si>
    <t>20GB</t>
  </si>
  <si>
    <t>120W</t>
  </si>
  <si>
    <t>145W</t>
  </si>
  <si>
    <t>165W</t>
  </si>
  <si>
    <t>250W</t>
  </si>
  <si>
    <t>180W</t>
  </si>
  <si>
    <t>160W</t>
  </si>
  <si>
    <t>175W</t>
  </si>
  <si>
    <t>215W</t>
  </si>
  <si>
    <t>280W</t>
  </si>
  <si>
    <t>130W</t>
  </si>
  <si>
    <t>170W</t>
  </si>
  <si>
    <t>200W</t>
  </si>
  <si>
    <t>220W</t>
  </si>
  <si>
    <t>290W</t>
  </si>
  <si>
    <t>320W</t>
  </si>
  <si>
    <t>350W</t>
  </si>
  <si>
    <t>450W</t>
  </si>
  <si>
    <t>115W</t>
  </si>
  <si>
    <t>285W</t>
  </si>
  <si>
    <t>300W</t>
  </si>
  <si>
    <t>360W</t>
  </si>
  <si>
    <t>575W</t>
  </si>
  <si>
    <t>225W</t>
  </si>
  <si>
    <t>53W</t>
  </si>
  <si>
    <t>107W</t>
  </si>
  <si>
    <t>132W</t>
  </si>
  <si>
    <t>230W</t>
  </si>
  <si>
    <t>335W</t>
  </si>
  <si>
    <t>190W</t>
  </si>
  <si>
    <t>245W</t>
  </si>
  <si>
    <t>263W</t>
  </si>
  <si>
    <t>260W</t>
  </si>
  <si>
    <t>315W</t>
  </si>
  <si>
    <t>355W</t>
  </si>
  <si>
    <t>304W</t>
  </si>
  <si>
    <t>TDP (W)</t>
  </si>
  <si>
    <t>65W</t>
  </si>
  <si>
    <t>105W</t>
  </si>
  <si>
    <t>Supported Motherboard Chipsets</t>
  </si>
  <si>
    <t>Supported RAM Type</t>
  </si>
  <si>
    <t>DDR4</t>
  </si>
  <si>
    <t>DDR5</t>
  </si>
  <si>
    <t>ASUS Prime A320M-K</t>
  </si>
  <si>
    <t>A320</t>
  </si>
  <si>
    <t>Budget</t>
  </si>
  <si>
    <t>Gigabyte B450 Aorus M</t>
  </si>
  <si>
    <t>B450</t>
  </si>
  <si>
    <t>ASRock A520M-HDV</t>
  </si>
  <si>
    <t>A520</t>
  </si>
  <si>
    <t>ASUS TUF Gaming B550-Plus</t>
  </si>
  <si>
    <t>B550</t>
  </si>
  <si>
    <t>Mid</t>
  </si>
  <si>
    <t>MSI MAG X570 Tomahawk</t>
  </si>
  <si>
    <t>X570</t>
  </si>
  <si>
    <t>ASUS ROG Crosshair VIII Dark Hero</t>
  </si>
  <si>
    <t>High</t>
  </si>
  <si>
    <t>ASRock A620M Pro RS</t>
  </si>
  <si>
    <t>A620</t>
  </si>
  <si>
    <t>ASUS TUF Gaming B650-Plus</t>
  </si>
  <si>
    <t>B650</t>
  </si>
  <si>
    <t>Gigabyte B650E Aorus Master</t>
  </si>
  <si>
    <t>B650E</t>
  </si>
  <si>
    <t>MSI MPG X670E Carbon</t>
  </si>
  <si>
    <t>X670E</t>
  </si>
  <si>
    <t>Gigabyte B850 Aorus Elite</t>
  </si>
  <si>
    <t>B850</t>
  </si>
  <si>
    <t>ASUS ROG Crosshair X870E Hero</t>
  </si>
  <si>
    <t>X870E</t>
  </si>
  <si>
    <t>Motherboard Name</t>
  </si>
  <si>
    <t>Type</t>
  </si>
  <si>
    <t>Ram Support</t>
  </si>
  <si>
    <t>Value</t>
  </si>
  <si>
    <t>SELECT PROCESSOR</t>
  </si>
  <si>
    <t>SELECT GPU</t>
  </si>
  <si>
    <t>RTX2060</t>
  </si>
  <si>
    <t>RTX2060Super</t>
  </si>
  <si>
    <t>RTX2070</t>
  </si>
  <si>
    <t>RTX2070Super</t>
  </si>
  <si>
    <t>RTX2080</t>
  </si>
  <si>
    <t>RTX2080Super</t>
  </si>
  <si>
    <t>RTX2080Ti</t>
  </si>
  <si>
    <t>TitanRTX</t>
  </si>
  <si>
    <t>RTX3050</t>
  </si>
  <si>
    <t>RTX30508GB</t>
  </si>
  <si>
    <t>RTX3060</t>
  </si>
  <si>
    <t>RTX3060Ti</t>
  </si>
  <si>
    <t>RTX3070</t>
  </si>
  <si>
    <t>RTX3070Ti</t>
  </si>
  <si>
    <t>RTX3080</t>
  </si>
  <si>
    <t>RTX3080Ti</t>
  </si>
  <si>
    <t>RTX308012GB</t>
  </si>
  <si>
    <t>RTX3090</t>
  </si>
  <si>
    <t>RTX3090Ti</t>
  </si>
  <si>
    <t>RTX4060</t>
  </si>
  <si>
    <t>RTX4060Ti</t>
  </si>
  <si>
    <t>RTX4070</t>
  </si>
  <si>
    <t>RTX4070Super</t>
  </si>
  <si>
    <t>RTX4070Ti</t>
  </si>
  <si>
    <t>RTX4070TiSuper</t>
  </si>
  <si>
    <t>RTX4080</t>
  </si>
  <si>
    <t>RTX4080Super</t>
  </si>
  <si>
    <t>RTX4090</t>
  </si>
  <si>
    <t>RTX5050</t>
  </si>
  <si>
    <t>RTX5060</t>
  </si>
  <si>
    <t>RTX5060Ti</t>
  </si>
  <si>
    <t>RTX5070</t>
  </si>
  <si>
    <t>RTX5070Ti</t>
  </si>
  <si>
    <t>RTX5080</t>
  </si>
  <si>
    <t>RTX5090</t>
  </si>
  <si>
    <t>RX5700</t>
  </si>
  <si>
    <t>RX5700XT</t>
  </si>
  <si>
    <t>RX6400</t>
  </si>
  <si>
    <t>RX6500XT</t>
  </si>
  <si>
    <t>RX6600</t>
  </si>
  <si>
    <t>RX6600XT</t>
  </si>
  <si>
    <t>RX6650XT</t>
  </si>
  <si>
    <t>RX6700</t>
  </si>
  <si>
    <t>RX6700XT</t>
  </si>
  <si>
    <t>RX6750XT</t>
  </si>
  <si>
    <t>RX6800</t>
  </si>
  <si>
    <t>RX6800XT</t>
  </si>
  <si>
    <t>RX6900XT</t>
  </si>
  <si>
    <t>RX6950XT</t>
  </si>
  <si>
    <t>RX7600</t>
  </si>
  <si>
    <t>RX7600XT</t>
  </si>
  <si>
    <t>RX7700XT</t>
  </si>
  <si>
    <t>RX7800XT</t>
  </si>
  <si>
    <t>RX7900GRE</t>
  </si>
  <si>
    <t>RX7900XT</t>
  </si>
  <si>
    <t>RX7900XTX</t>
  </si>
  <si>
    <t>RX9060</t>
  </si>
  <si>
    <t>RX9060XT</t>
  </si>
  <si>
    <t>RX9070</t>
  </si>
  <si>
    <t>RX9070XT</t>
  </si>
  <si>
    <t>RX9070GRE</t>
  </si>
  <si>
    <t>CPU DETAILS:</t>
  </si>
  <si>
    <t>PRICE</t>
  </si>
  <si>
    <t>TDP</t>
  </si>
  <si>
    <t>GPU DETAILS:</t>
  </si>
  <si>
    <t>Recommended motherboard</t>
  </si>
  <si>
    <t>Board</t>
  </si>
  <si>
    <t>Ram Type</t>
  </si>
  <si>
    <t>16 GB</t>
  </si>
  <si>
    <t>32 GB</t>
  </si>
  <si>
    <t>Column1</t>
  </si>
  <si>
    <t>Column2</t>
  </si>
  <si>
    <t>Column3</t>
  </si>
  <si>
    <t>SSD</t>
  </si>
  <si>
    <t>GEN 4</t>
  </si>
  <si>
    <t>Total estimated system TDP</t>
  </si>
  <si>
    <t>Recommended PSU wattage</t>
  </si>
  <si>
    <t>Estimated total build cost (CPU + GPU + Motherboard + RAM + Storage + PSU)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</si>
</sst>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m/yyyy"/>
    <numFmt numFmtId="165" formatCode="mmmm\ yyyy"/>
    <numFmt numFmtId="166" formatCode="&quot;₹&quot;\ #,##0.00"/>
    <numFmt numFmtId="167" formatCode="_-[$$-409]* #,##0.00_ ;_-[$$-409]* \-#,##0.00\ ;_-[$$-409]* &quot;-&quot;??_ ;_-@_ "/>
    <numFmt numFmtId="169" formatCode="[$$-409]#,##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1F1F"/>
      <name val="Arial"/>
      <family val="2"/>
    </font>
    <font>
      <b/>
      <u/>
      <sz val="22"/>
      <color theme="1"/>
      <name val="Baskerville Old Face"/>
      <family val="1"/>
    </font>
    <font>
      <sz val="11"/>
      <color theme="1" tint="4.9989318521683403E-2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6" tint="-0.249977111117893"/>
      </left>
      <right/>
      <top style="medium">
        <color theme="6" tint="-0.249977111117893"/>
      </top>
      <bottom/>
      <diagonal/>
    </border>
    <border>
      <left/>
      <right style="medium">
        <color theme="6" tint="-0.249977111117893"/>
      </right>
      <top style="medium">
        <color theme="6" tint="-0.249977111117893"/>
      </top>
      <bottom/>
      <diagonal/>
    </border>
    <border>
      <left style="medium">
        <color theme="6" tint="-0.249977111117893"/>
      </left>
      <right/>
      <top/>
      <bottom/>
      <diagonal/>
    </border>
    <border>
      <left style="medium">
        <color theme="6" tint="-0.249977111117893"/>
      </left>
      <right/>
      <top/>
      <bottom style="medium">
        <color theme="6" tint="-0.249977111117893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rgb="FF0070C0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/>
      <right/>
      <top style="medium">
        <color theme="6" tint="-0.249977111117893"/>
      </top>
      <bottom style="thin">
        <color theme="1" tint="4.9989318521683403E-2"/>
      </bottom>
      <diagonal/>
    </border>
    <border>
      <left/>
      <right/>
      <top style="thin">
        <color rgb="FF00B050"/>
      </top>
      <bottom style="thin">
        <color theme="1" tint="4.9989318521683403E-2"/>
      </bottom>
      <diagonal/>
    </border>
    <border>
      <left style="medium">
        <color theme="1" tint="4.9989318521683403E-2"/>
      </left>
      <right/>
      <top style="medium">
        <color theme="1" tint="4.9989318521683403E-2"/>
      </top>
      <bottom/>
      <diagonal/>
    </border>
    <border>
      <left/>
      <right/>
      <top style="medium">
        <color theme="1" tint="4.9989318521683403E-2"/>
      </top>
      <bottom/>
      <diagonal/>
    </border>
    <border>
      <left/>
      <right style="medium">
        <color theme="1" tint="4.9989318521683403E-2"/>
      </right>
      <top style="medium">
        <color theme="1" tint="4.9989318521683403E-2"/>
      </top>
      <bottom/>
      <diagonal/>
    </border>
    <border>
      <left style="medium">
        <color theme="1" tint="4.9989318521683403E-2"/>
      </left>
      <right/>
      <top/>
      <bottom style="medium">
        <color theme="1" tint="4.9989318521683403E-2"/>
      </bottom>
      <diagonal/>
    </border>
    <border>
      <left/>
      <right/>
      <top/>
      <bottom style="medium">
        <color theme="1" tint="4.9989318521683403E-2"/>
      </bottom>
      <diagonal/>
    </border>
    <border>
      <left/>
      <right style="medium">
        <color theme="1" tint="4.9989318521683403E-2"/>
      </right>
      <top/>
      <bottom style="medium">
        <color theme="1" tint="4.9989318521683403E-2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 style="thin">
        <color theme="1" tint="4.9989318521683403E-2"/>
      </top>
      <bottom style="thin">
        <color rgb="FFFF0000"/>
      </bottom>
      <diagonal/>
    </border>
    <border>
      <left style="thin">
        <color theme="1" tint="4.9989318521683403E-2"/>
      </left>
      <right style="thin">
        <color rgb="FFFF0000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1">
    <xf numFmtId="0" fontId="0" fillId="0" borderId="0"/>
  </cellStyleXfs>
  <cellXfs count="67">
    <xf numFmtId="0" fontId="0" fillId="0" borderId="0" xfId="0"/>
    <xf numFmtId="49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3" fillId="0" borderId="0" xfId="0" applyNumberFormat="1" applyFont="1" applyAlignment="1">
      <alignment horizontal="right" vertical="center" readingOrder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readingOrder="1"/>
    </xf>
    <xf numFmtId="0" fontId="3" fillId="0" borderId="0" xfId="0" applyFont="1" applyAlignment="1">
      <alignment horizontal="right" vertical="center" readingOrder="1"/>
    </xf>
    <xf numFmtId="0" fontId="1" fillId="0" borderId="0" xfId="0" applyFont="1"/>
    <xf numFmtId="167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top"/>
    </xf>
    <xf numFmtId="0" fontId="4" fillId="0" borderId="0" xfId="0" applyFont="1"/>
    <xf numFmtId="169" fontId="0" fillId="0" borderId="0" xfId="0" applyNumberFormat="1" applyAlignment="1">
      <alignment horizontal="righ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horizontal="right"/>
    </xf>
    <xf numFmtId="169" fontId="0" fillId="0" borderId="12" xfId="0" applyNumberFormat="1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3" xfId="0" applyBorder="1"/>
    <xf numFmtId="169" fontId="0" fillId="0" borderId="0" xfId="0" applyNumberFormat="1"/>
    <xf numFmtId="169" fontId="0" fillId="0" borderId="16" xfId="0" applyNumberFormat="1" applyBorder="1"/>
    <xf numFmtId="0" fontId="0" fillId="0" borderId="21" xfId="0" applyBorder="1" applyAlignment="1">
      <alignment horizontal="right"/>
    </xf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right"/>
    </xf>
    <xf numFmtId="0" fontId="5" fillId="0" borderId="24" xfId="0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24" xfId="0" applyBorder="1"/>
    <xf numFmtId="0" fontId="0" fillId="2" borderId="1" xfId="0" applyFill="1" applyBorder="1" applyProtection="1">
      <protection locked="0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6" fillId="0" borderId="30" xfId="0" applyFont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4" xfId="0" applyFont="1" applyBorder="1"/>
    <xf numFmtId="0" fontId="0" fillId="0" borderId="44" xfId="0" applyFont="1" applyFill="1" applyBorder="1"/>
  </cellXfs>
  <cellStyles count="1">
    <cellStyle name="Normal" xfId="0" builtinId="0"/>
  </cellStyles>
  <dxfs count="12">
    <dxf>
      <numFmt numFmtId="169" formatCode="[$$-409]#,##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7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righ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6" formatCode="&quot;₹&quot;\ #,##0.00"/>
      <alignment horizontal="right" vertical="center" textRotation="0" wrapText="0" indent="0" justifyLastLine="0" shrinkToFit="0" readingOrder="1"/>
    </dxf>
    <dxf>
      <numFmt numFmtId="165" formatCode="mmmm\ 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0" indent="0" justifyLastLine="0" shrinkToFit="0" readingOrder="1"/>
    </dxf>
    <dxf>
      <numFmt numFmtId="165" formatCode="mmmm\ 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15240</xdr:colOff>
      <xdr:row>1</xdr:row>
      <xdr:rowOff>129540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658B3DE-E52F-4D08-2569-603EBFD631D6}"/>
            </a:ext>
          </a:extLst>
        </xdr:cNvPr>
        <xdr:cNvSpPr/>
      </xdr:nvSpPr>
      <xdr:spPr>
        <a:xfrm>
          <a:off x="4876800" y="15240"/>
          <a:ext cx="5836920" cy="495300"/>
        </a:xfrm>
        <a:prstGeom prst="roundRect">
          <a:avLst/>
        </a:prstGeom>
        <a:ln>
          <a:solidFill>
            <a:srgbClr val="FFC000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28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  <a:latin typeface="Bahnschrift SemiBold Condensed" panose="020B0502040204020203" pitchFamily="34" charset="0"/>
            </a:rPr>
            <a:t>PC BUILD COMPATIBILITY HELPER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7A63F3-E3D9-4FD9-92BF-E4417A5301D5}" name="CPU" displayName="CPU" ref="A1:G35" totalsRowShown="0" headerRowDxfId="11">
  <autoFilter ref="A1:G35" xr:uid="{107A63F3-E3D9-4FD9-92BF-E4417A5301D5}"/>
  <tableColumns count="7">
    <tableColumn id="1" xr3:uid="{EC6C6493-A216-406F-8F0A-EC58B4073D10}" name="Processors"/>
    <tableColumn id="2" xr3:uid="{9C00204C-AAD1-46DE-93F6-DBC6182819FF}" name="Supported Motherboard Chipsets"/>
    <tableColumn id="3" xr3:uid="{80DC8758-2D8C-43C2-BEC2-CC0A84B29140}" name="Socket"/>
    <tableColumn id="4" xr3:uid="{E9FE946E-7044-426C-90E4-8E52FDADF939}" name="Supported RAM Type"/>
    <tableColumn id="5" xr3:uid="{72BB1371-968A-422F-A3A7-F49A694C1C13}" name="Release Dates" dataDxfId="10"/>
    <tableColumn id="6" xr3:uid="{3E15C942-B55A-4D73-8288-C66F5D59A6A0}" name="Price" dataDxfId="0"/>
    <tableColumn id="7" xr3:uid="{C1CCEB73-EFE9-49E9-A7A0-47A31D85920C}" name="TDP (W)" dataDxfId="9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6CF61F-95BB-4628-BC6E-C92D67914C57}" name="GPU" displayName="GPU" ref="A1:F62" totalsRowShown="0" headerRowDxfId="8">
  <autoFilter ref="A1:F62" xr:uid="{5F6CF61F-95BB-4628-BC6E-C92D67914C57}"/>
  <tableColumns count="6">
    <tableColumn id="1" xr3:uid="{98854466-9A4B-4FAB-A0F9-56E07D9B598E}" name="GPU Name"/>
    <tableColumn id="2" xr3:uid="{41634DBD-DC43-4127-99D0-38622A2F742C}" name="Company"/>
    <tableColumn id="3" xr3:uid="{6E8C57E9-A410-4DC5-AB74-746B31A63657}" name="Release Date" dataDxfId="7"/>
    <tableColumn id="4" xr3:uid="{07F12B71-9E77-4F59-B7DF-F72E5C87C735}" name="Price" dataDxfId="6"/>
    <tableColumn id="5" xr3:uid="{2ABC34D4-C663-4442-92DA-80C391A6B7AE}" name="VRAM" dataDxfId="5"/>
    <tableColumn id="6" xr3:uid="{63897595-B19B-4FEC-9E2E-1DB1C26BE8F5}" name="TDP (W)" dataDxfId="4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11EBAD-5A09-474F-90EE-BB352439AEC9}" name="MOTHERBOARD" displayName="MOTHERBOARD" ref="A1:F13" totalsRowShown="0" headerRowDxfId="3">
  <autoFilter ref="A1:F13" xr:uid="{7911EBAD-5A09-474F-90EE-BB352439AEC9}"/>
  <tableColumns count="6">
    <tableColumn id="1" xr3:uid="{9252E4A4-45B0-43BD-A99D-B976CB8EB261}" name="Motherboard Name"/>
    <tableColumn id="2" xr3:uid="{E94FB07A-20A7-4E56-9357-015994591514}" name="Socket"/>
    <tableColumn id="3" xr3:uid="{7B86C03E-AFE3-4775-9D86-52977AADE0CE}" name="Type"/>
    <tableColumn id="4" xr3:uid="{E2DDB222-B09D-4CEA-8E89-EBAC258A57BB}" name="Ram Support"/>
    <tableColumn id="5" xr3:uid="{6D66CED8-4A68-4C82-B970-1704B832AE49}" name="Price" dataDxfId="2"/>
    <tableColumn id="6" xr3:uid="{9E49BA07-833D-4851-A34C-E972A31E232E}" name="Value" dataDxfId="1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77AD1B1-BED1-4DBF-BD3B-095DDB2E752E}" name="RAM_BLAH" displayName="RAM_BLAH" ref="A4:C8" totalsRowShown="0">
  <autoFilter ref="A4:C8" xr:uid="{A77AD1B1-BED1-4DBF-BD3B-095DDB2E752E}"/>
  <tableColumns count="3">
    <tableColumn id="1" xr3:uid="{A25EB742-CD2A-43F8-A15E-BE1CBE2BC699}" name="Column1"/>
    <tableColumn id="2" xr3:uid="{66F4F063-89C4-4712-9AF0-234CC7CF5BB7}" name="Column2"/>
    <tableColumn id="3" xr3:uid="{918D65B2-6F0D-4C81-A676-3A08363625CD}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3D03-584D-418A-BCFC-03013B84A4BF}">
  <dimension ref="A1:G35"/>
  <sheetViews>
    <sheetView zoomScale="115" zoomScaleNormal="115" workbookViewId="0">
      <pane ySplit="1" topLeftCell="A2" activePane="bottomLeft" state="frozen"/>
      <selection activeCell="G1" sqref="G1:G1048576"/>
      <selection pane="bottomLeft" activeCell="G1" sqref="G1:G1048576"/>
    </sheetView>
  </sheetViews>
  <sheetFormatPr defaultRowHeight="14.4" x14ac:dyDescent="0.3"/>
  <cols>
    <col min="1" max="1" width="17.6640625" customWidth="1"/>
    <col min="2" max="2" width="51.21875" customWidth="1"/>
    <col min="3" max="3" width="8.33203125" customWidth="1"/>
    <col min="4" max="4" width="19.6640625" customWidth="1"/>
    <col min="5" max="5" width="17" customWidth="1"/>
    <col min="7" max="7" width="9" customWidth="1"/>
  </cols>
  <sheetData>
    <row r="1" spans="1:7" x14ac:dyDescent="0.3">
      <c r="A1" s="9" t="s">
        <v>60</v>
      </c>
      <c r="B1" s="9" t="s">
        <v>126</v>
      </c>
      <c r="C1" s="9" t="s">
        <v>2</v>
      </c>
      <c r="D1" s="9" t="s">
        <v>127</v>
      </c>
      <c r="E1" s="6" t="s">
        <v>8</v>
      </c>
      <c r="F1" s="9" t="s">
        <v>26</v>
      </c>
      <c r="G1" s="6" t="s">
        <v>123</v>
      </c>
    </row>
    <row r="2" spans="1:7" x14ac:dyDescent="0.3">
      <c r="A2" t="s">
        <v>27</v>
      </c>
      <c r="B2" t="s">
        <v>1</v>
      </c>
      <c r="C2" t="s">
        <v>3</v>
      </c>
      <c r="D2" t="s">
        <v>128</v>
      </c>
      <c r="E2" s="3">
        <v>44652</v>
      </c>
      <c r="F2" s="14">
        <v>159</v>
      </c>
      <c r="G2" s="7" t="s">
        <v>124</v>
      </c>
    </row>
    <row r="3" spans="1:7" x14ac:dyDescent="0.3">
      <c r="A3" t="s">
        <v>28</v>
      </c>
      <c r="B3" t="s">
        <v>1</v>
      </c>
      <c r="C3" t="s">
        <v>3</v>
      </c>
      <c r="D3" t="s">
        <v>128</v>
      </c>
      <c r="E3" s="3">
        <v>45292</v>
      </c>
      <c r="F3" s="14">
        <v>99</v>
      </c>
      <c r="G3" s="7" t="s">
        <v>124</v>
      </c>
    </row>
    <row r="4" spans="1:7" x14ac:dyDescent="0.3">
      <c r="A4" t="s">
        <v>29</v>
      </c>
      <c r="B4" t="s">
        <v>1</v>
      </c>
      <c r="C4" t="s">
        <v>3</v>
      </c>
      <c r="D4" t="s">
        <v>128</v>
      </c>
      <c r="E4" s="3">
        <v>44652</v>
      </c>
      <c r="F4" s="14">
        <v>199</v>
      </c>
      <c r="G4" s="7" t="s">
        <v>124</v>
      </c>
    </row>
    <row r="5" spans="1:7" x14ac:dyDescent="0.3">
      <c r="A5" t="s">
        <v>30</v>
      </c>
      <c r="B5" t="s">
        <v>1</v>
      </c>
      <c r="C5" t="s">
        <v>3</v>
      </c>
      <c r="D5" t="s">
        <v>128</v>
      </c>
      <c r="E5" s="3">
        <v>44287</v>
      </c>
      <c r="F5" s="14">
        <v>259</v>
      </c>
      <c r="G5" s="7" t="s">
        <v>124</v>
      </c>
    </row>
    <row r="6" spans="1:7" x14ac:dyDescent="0.3">
      <c r="A6" t="s">
        <v>31</v>
      </c>
      <c r="B6" t="s">
        <v>1</v>
      </c>
      <c r="C6" t="s">
        <v>3</v>
      </c>
      <c r="D6" t="s">
        <v>128</v>
      </c>
      <c r="E6" s="4">
        <v>45292</v>
      </c>
      <c r="F6" s="14">
        <v>140</v>
      </c>
      <c r="G6" s="7" t="s">
        <v>124</v>
      </c>
    </row>
    <row r="7" spans="1:7" x14ac:dyDescent="0.3">
      <c r="A7" t="s">
        <v>32</v>
      </c>
      <c r="B7" t="s">
        <v>1</v>
      </c>
      <c r="C7" t="s">
        <v>3</v>
      </c>
      <c r="D7" t="s">
        <v>128</v>
      </c>
      <c r="E7" s="4">
        <v>44136</v>
      </c>
      <c r="F7" s="14">
        <v>299</v>
      </c>
      <c r="G7" s="7" t="s">
        <v>124</v>
      </c>
    </row>
    <row r="8" spans="1:7" x14ac:dyDescent="0.3">
      <c r="A8" t="s">
        <v>33</v>
      </c>
      <c r="B8" t="s">
        <v>1</v>
      </c>
      <c r="C8" t="s">
        <v>3</v>
      </c>
      <c r="D8" t="s">
        <v>128</v>
      </c>
      <c r="E8" s="4">
        <v>44652</v>
      </c>
      <c r="F8" s="14">
        <v>175</v>
      </c>
      <c r="G8" s="7" t="s">
        <v>124</v>
      </c>
    </row>
    <row r="9" spans="1:7" x14ac:dyDescent="0.3">
      <c r="A9" t="s">
        <v>34</v>
      </c>
      <c r="B9" t="s">
        <v>1</v>
      </c>
      <c r="C9" t="s">
        <v>3</v>
      </c>
      <c r="D9" t="s">
        <v>128</v>
      </c>
      <c r="E9" s="4">
        <v>44287</v>
      </c>
      <c r="F9" s="14">
        <v>359</v>
      </c>
      <c r="G9" s="7" t="s">
        <v>124</v>
      </c>
    </row>
    <row r="10" spans="1:7" x14ac:dyDescent="0.3">
      <c r="A10" t="s">
        <v>35</v>
      </c>
      <c r="B10" t="s">
        <v>1</v>
      </c>
      <c r="C10" t="s">
        <v>3</v>
      </c>
      <c r="D10" t="s">
        <v>128</v>
      </c>
      <c r="E10" s="4">
        <v>44652</v>
      </c>
      <c r="F10" s="14">
        <v>299</v>
      </c>
      <c r="G10" s="7" t="s">
        <v>124</v>
      </c>
    </row>
    <row r="11" spans="1:7" x14ac:dyDescent="0.3">
      <c r="A11" t="s">
        <v>36</v>
      </c>
      <c r="B11" t="s">
        <v>1</v>
      </c>
      <c r="C11" t="s">
        <v>3</v>
      </c>
      <c r="D11" t="s">
        <v>128</v>
      </c>
      <c r="E11" s="4">
        <v>45200</v>
      </c>
      <c r="F11" s="14">
        <v>249</v>
      </c>
      <c r="G11" s="7" t="s">
        <v>125</v>
      </c>
    </row>
    <row r="12" spans="1:7" x14ac:dyDescent="0.3">
      <c r="A12" t="s">
        <v>37</v>
      </c>
      <c r="B12" t="s">
        <v>1</v>
      </c>
      <c r="C12" t="s">
        <v>3</v>
      </c>
      <c r="D12" t="s">
        <v>128</v>
      </c>
      <c r="E12" s="4">
        <v>44136</v>
      </c>
      <c r="F12" s="14">
        <v>449</v>
      </c>
      <c r="G12" s="7" t="s">
        <v>125</v>
      </c>
    </row>
    <row r="13" spans="1:7" x14ac:dyDescent="0.3">
      <c r="A13" t="s">
        <v>38</v>
      </c>
      <c r="B13" t="s">
        <v>1</v>
      </c>
      <c r="C13" t="s">
        <v>3</v>
      </c>
      <c r="D13" t="s">
        <v>128</v>
      </c>
      <c r="E13" s="4">
        <v>44652</v>
      </c>
      <c r="F13" s="14">
        <v>449</v>
      </c>
      <c r="G13" s="7" t="s">
        <v>125</v>
      </c>
    </row>
    <row r="14" spans="1:7" x14ac:dyDescent="0.3">
      <c r="A14" t="s">
        <v>39</v>
      </c>
      <c r="B14" t="s">
        <v>1</v>
      </c>
      <c r="C14" t="s">
        <v>3</v>
      </c>
      <c r="D14" t="s">
        <v>128</v>
      </c>
      <c r="E14" s="4">
        <v>45292</v>
      </c>
      <c r="F14" s="14">
        <v>280</v>
      </c>
      <c r="G14" s="7" t="s">
        <v>125</v>
      </c>
    </row>
    <row r="15" spans="1:7" x14ac:dyDescent="0.3">
      <c r="A15" t="s">
        <v>40</v>
      </c>
      <c r="B15" t="s">
        <v>1</v>
      </c>
      <c r="C15" t="s">
        <v>3</v>
      </c>
      <c r="D15" t="s">
        <v>128</v>
      </c>
      <c r="E15" s="4">
        <v>44136</v>
      </c>
      <c r="F15" s="14">
        <v>549</v>
      </c>
      <c r="G15" s="7" t="s">
        <v>125</v>
      </c>
    </row>
    <row r="16" spans="1:7" x14ac:dyDescent="0.3">
      <c r="A16" t="s">
        <v>41</v>
      </c>
      <c r="B16" t="s">
        <v>1</v>
      </c>
      <c r="C16" t="s">
        <v>3</v>
      </c>
      <c r="D16" t="s">
        <v>128</v>
      </c>
      <c r="E16" s="4">
        <v>45292</v>
      </c>
      <c r="F16" s="14">
        <v>420</v>
      </c>
      <c r="G16" s="7" t="s">
        <v>125</v>
      </c>
    </row>
    <row r="17" spans="1:7" x14ac:dyDescent="0.3">
      <c r="A17" t="s">
        <v>42</v>
      </c>
      <c r="B17" t="s">
        <v>1</v>
      </c>
      <c r="C17" t="s">
        <v>3</v>
      </c>
      <c r="D17" t="s">
        <v>128</v>
      </c>
      <c r="E17" s="4">
        <v>44136</v>
      </c>
      <c r="F17" s="14">
        <v>799</v>
      </c>
      <c r="G17" s="7" t="s">
        <v>125</v>
      </c>
    </row>
    <row r="18" spans="1:7" x14ac:dyDescent="0.3">
      <c r="A18" t="s">
        <v>43</v>
      </c>
      <c r="B18" t="s">
        <v>6</v>
      </c>
      <c r="C18" t="s">
        <v>4</v>
      </c>
      <c r="D18" t="s">
        <v>129</v>
      </c>
      <c r="E18" s="4">
        <v>44927</v>
      </c>
      <c r="F18" s="14">
        <v>229</v>
      </c>
      <c r="G18" s="7" t="s">
        <v>124</v>
      </c>
    </row>
    <row r="19" spans="1:7" x14ac:dyDescent="0.3">
      <c r="A19" t="s">
        <v>44</v>
      </c>
      <c r="B19" t="s">
        <v>6</v>
      </c>
      <c r="C19" t="s">
        <v>4</v>
      </c>
      <c r="D19" t="s">
        <v>129</v>
      </c>
      <c r="E19" s="4">
        <v>44805</v>
      </c>
      <c r="F19" s="14">
        <v>299</v>
      </c>
      <c r="G19" s="7" t="s">
        <v>125</v>
      </c>
    </row>
    <row r="20" spans="1:7" x14ac:dyDescent="0.3">
      <c r="A20" t="s">
        <v>45</v>
      </c>
      <c r="B20" t="s">
        <v>6</v>
      </c>
      <c r="C20" t="s">
        <v>4</v>
      </c>
      <c r="D20" t="s">
        <v>129</v>
      </c>
      <c r="E20" s="4">
        <v>44927</v>
      </c>
      <c r="F20" s="14">
        <v>329</v>
      </c>
      <c r="G20" s="7" t="s">
        <v>124</v>
      </c>
    </row>
    <row r="21" spans="1:7" x14ac:dyDescent="0.3">
      <c r="A21" t="s">
        <v>46</v>
      </c>
      <c r="B21" t="s">
        <v>6</v>
      </c>
      <c r="C21" t="s">
        <v>4</v>
      </c>
      <c r="D21" t="s">
        <v>129</v>
      </c>
      <c r="E21" s="4">
        <v>44805</v>
      </c>
      <c r="F21" s="14">
        <v>399</v>
      </c>
      <c r="G21" s="7" t="s">
        <v>125</v>
      </c>
    </row>
    <row r="22" spans="1:7" x14ac:dyDescent="0.3">
      <c r="A22" t="s">
        <v>47</v>
      </c>
      <c r="B22" t="s">
        <v>6</v>
      </c>
      <c r="C22" t="s">
        <v>4</v>
      </c>
      <c r="D22" t="s">
        <v>129</v>
      </c>
      <c r="E22" s="4">
        <v>45017</v>
      </c>
      <c r="F22" s="14">
        <v>449</v>
      </c>
      <c r="G22" s="7" t="s">
        <v>88</v>
      </c>
    </row>
    <row r="23" spans="1:7" x14ac:dyDescent="0.3">
      <c r="A23" t="s">
        <v>48</v>
      </c>
      <c r="B23" t="s">
        <v>6</v>
      </c>
      <c r="C23" t="s">
        <v>4</v>
      </c>
      <c r="D23" t="s">
        <v>129</v>
      </c>
      <c r="E23" s="4">
        <v>44927</v>
      </c>
      <c r="F23" s="14">
        <v>429</v>
      </c>
      <c r="G23" s="7" t="s">
        <v>124</v>
      </c>
    </row>
    <row r="24" spans="1:7" x14ac:dyDescent="0.3">
      <c r="A24" t="s">
        <v>49</v>
      </c>
      <c r="B24" t="s">
        <v>6</v>
      </c>
      <c r="C24" t="s">
        <v>4</v>
      </c>
      <c r="D24" t="s">
        <v>129</v>
      </c>
      <c r="E24" s="4">
        <v>44805</v>
      </c>
      <c r="F24" s="14">
        <v>549</v>
      </c>
      <c r="G24" s="7" t="s">
        <v>98</v>
      </c>
    </row>
    <row r="25" spans="1:7" x14ac:dyDescent="0.3">
      <c r="A25" t="s">
        <v>50</v>
      </c>
      <c r="B25" t="s">
        <v>6</v>
      </c>
      <c r="C25" t="s">
        <v>4</v>
      </c>
      <c r="D25" t="s">
        <v>129</v>
      </c>
      <c r="E25" s="4">
        <v>44958</v>
      </c>
      <c r="F25" s="14">
        <v>599</v>
      </c>
      <c r="G25" s="7" t="s">
        <v>88</v>
      </c>
    </row>
    <row r="26" spans="1:7" x14ac:dyDescent="0.3">
      <c r="A26" t="s">
        <v>51</v>
      </c>
      <c r="B26" t="s">
        <v>6</v>
      </c>
      <c r="C26" t="s">
        <v>4</v>
      </c>
      <c r="D26" t="s">
        <v>129</v>
      </c>
      <c r="E26" s="4">
        <v>44805</v>
      </c>
      <c r="F26" s="14">
        <v>699</v>
      </c>
      <c r="G26" s="7" t="s">
        <v>98</v>
      </c>
    </row>
    <row r="27" spans="1:7" x14ac:dyDescent="0.3">
      <c r="A27" t="s">
        <v>52</v>
      </c>
      <c r="B27" t="s">
        <v>6</v>
      </c>
      <c r="C27" t="s">
        <v>4</v>
      </c>
      <c r="D27" t="s">
        <v>129</v>
      </c>
      <c r="E27" s="4">
        <v>44958</v>
      </c>
      <c r="F27" s="14">
        <v>699</v>
      </c>
      <c r="G27" s="7" t="s">
        <v>88</v>
      </c>
    </row>
    <row r="28" spans="1:7" x14ac:dyDescent="0.3">
      <c r="A28" s="1" t="s">
        <v>5</v>
      </c>
      <c r="B28" t="s">
        <v>6</v>
      </c>
      <c r="C28" t="s">
        <v>4</v>
      </c>
      <c r="D28" t="s">
        <v>129</v>
      </c>
      <c r="E28" s="4">
        <v>45292</v>
      </c>
      <c r="F28" s="14">
        <v>179</v>
      </c>
      <c r="G28" s="7" t="s">
        <v>124</v>
      </c>
    </row>
    <row r="29" spans="1:7" x14ac:dyDescent="0.3">
      <c r="A29" t="s">
        <v>53</v>
      </c>
      <c r="B29" t="s">
        <v>6</v>
      </c>
      <c r="C29" t="s">
        <v>4</v>
      </c>
      <c r="D29" t="s">
        <v>129</v>
      </c>
      <c r="E29" s="4">
        <v>45292</v>
      </c>
      <c r="F29" s="14">
        <v>329</v>
      </c>
      <c r="G29" s="7" t="s">
        <v>124</v>
      </c>
    </row>
    <row r="30" spans="1:7" x14ac:dyDescent="0.3">
      <c r="A30" t="s">
        <v>54</v>
      </c>
      <c r="B30" t="s">
        <v>6</v>
      </c>
      <c r="C30" t="s">
        <v>4</v>
      </c>
      <c r="D30" t="s">
        <v>129</v>
      </c>
      <c r="E30" s="4">
        <v>45505</v>
      </c>
      <c r="F30" s="14">
        <v>279</v>
      </c>
      <c r="G30" s="7" t="s">
        <v>124</v>
      </c>
    </row>
    <row r="31" spans="1:7" x14ac:dyDescent="0.3">
      <c r="A31" t="s">
        <v>55</v>
      </c>
      <c r="B31" t="s">
        <v>6</v>
      </c>
      <c r="C31" t="s">
        <v>4</v>
      </c>
      <c r="D31" t="s">
        <v>129</v>
      </c>
      <c r="E31" s="4">
        <v>45505</v>
      </c>
      <c r="F31" s="14">
        <v>359</v>
      </c>
      <c r="G31" s="7" t="s">
        <v>124</v>
      </c>
    </row>
    <row r="32" spans="1:7" x14ac:dyDescent="0.3">
      <c r="A32" t="s">
        <v>56</v>
      </c>
      <c r="B32" t="s">
        <v>6</v>
      </c>
      <c r="C32" t="s">
        <v>4</v>
      </c>
      <c r="D32" t="s">
        <v>129</v>
      </c>
      <c r="E32" s="4">
        <v>45597</v>
      </c>
      <c r="F32" s="14">
        <v>479</v>
      </c>
      <c r="G32" s="7" t="s">
        <v>88</v>
      </c>
    </row>
    <row r="33" spans="1:7" x14ac:dyDescent="0.3">
      <c r="A33" t="s">
        <v>57</v>
      </c>
      <c r="B33" t="s">
        <v>6</v>
      </c>
      <c r="C33" t="s">
        <v>4</v>
      </c>
      <c r="D33" t="s">
        <v>129</v>
      </c>
      <c r="E33" s="4">
        <v>45505</v>
      </c>
      <c r="F33" s="14">
        <v>499</v>
      </c>
      <c r="G33" s="7" t="s">
        <v>88</v>
      </c>
    </row>
    <row r="34" spans="1:7" x14ac:dyDescent="0.3">
      <c r="A34" t="s">
        <v>58</v>
      </c>
      <c r="B34" t="s">
        <v>6</v>
      </c>
      <c r="C34" t="s">
        <v>4</v>
      </c>
      <c r="D34" t="s">
        <v>129</v>
      </c>
      <c r="E34" s="4">
        <v>45505</v>
      </c>
      <c r="F34" s="14">
        <v>649</v>
      </c>
      <c r="G34" s="7" t="s">
        <v>98</v>
      </c>
    </row>
    <row r="35" spans="1:7" x14ac:dyDescent="0.3">
      <c r="A35" t="s">
        <v>59</v>
      </c>
      <c r="B35" t="s">
        <v>6</v>
      </c>
      <c r="C35" t="s">
        <v>4</v>
      </c>
      <c r="D35" t="s">
        <v>129</v>
      </c>
      <c r="E35" s="4">
        <v>45717</v>
      </c>
      <c r="F35" s="14">
        <v>699</v>
      </c>
      <c r="G35" s="7" t="s">
        <v>88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F92B-0DAB-42AB-A260-5DCB0E0C754A}">
  <dimension ref="A1:F62"/>
  <sheetViews>
    <sheetView zoomScale="115" zoomScaleNormal="115" workbookViewId="0">
      <pane ySplit="1" topLeftCell="A2" activePane="bottomLeft" state="frozen"/>
      <selection activeCell="G1" sqref="G1:G1048576"/>
      <selection pane="bottomLeft" activeCell="G1" sqref="G1:G1048576"/>
    </sheetView>
  </sheetViews>
  <sheetFormatPr defaultRowHeight="14.4" x14ac:dyDescent="0.3"/>
  <cols>
    <col min="1" max="1" width="16.109375" customWidth="1"/>
    <col min="2" max="2" width="10.44140625" customWidth="1"/>
    <col min="3" max="3" width="15.88671875" customWidth="1"/>
    <col min="4" max="4" width="8.33203125" customWidth="1"/>
    <col min="6" max="6" width="9" customWidth="1"/>
  </cols>
  <sheetData>
    <row r="1" spans="1:6" x14ac:dyDescent="0.3">
      <c r="A1" s="6" t="s">
        <v>7</v>
      </c>
      <c r="B1" s="6" t="s">
        <v>61</v>
      </c>
      <c r="C1" s="6" t="s">
        <v>64</v>
      </c>
      <c r="D1" s="6" t="s">
        <v>26</v>
      </c>
      <c r="E1" s="6" t="s">
        <v>77</v>
      </c>
      <c r="F1" s="6" t="s">
        <v>123</v>
      </c>
    </row>
    <row r="2" spans="1:6" x14ac:dyDescent="0.3">
      <c r="A2" s="1" t="s">
        <v>162</v>
      </c>
      <c r="B2" t="s">
        <v>62</v>
      </c>
      <c r="C2" s="2">
        <v>43466</v>
      </c>
      <c r="D2" s="5" t="s">
        <v>67</v>
      </c>
      <c r="E2" s="8" t="s">
        <v>79</v>
      </c>
      <c r="F2" s="7" t="s">
        <v>93</v>
      </c>
    </row>
    <row r="3" spans="1:6" x14ac:dyDescent="0.3">
      <c r="A3" t="s">
        <v>163</v>
      </c>
      <c r="B3" t="s">
        <v>62</v>
      </c>
      <c r="C3" s="2">
        <v>43647</v>
      </c>
      <c r="D3" s="5" t="s">
        <v>11</v>
      </c>
      <c r="E3" s="8" t="s">
        <v>81</v>
      </c>
      <c r="F3" s="7" t="s">
        <v>94</v>
      </c>
    </row>
    <row r="4" spans="1:6" x14ac:dyDescent="0.3">
      <c r="A4" t="s">
        <v>164</v>
      </c>
      <c r="B4" t="s">
        <v>62</v>
      </c>
      <c r="C4" s="2">
        <v>43374</v>
      </c>
      <c r="D4" s="5" t="s">
        <v>12</v>
      </c>
      <c r="E4" s="8" t="s">
        <v>81</v>
      </c>
      <c r="F4" s="7" t="s">
        <v>94</v>
      </c>
    </row>
    <row r="5" spans="1:6" x14ac:dyDescent="0.3">
      <c r="A5" t="s">
        <v>165</v>
      </c>
      <c r="B5" t="s">
        <v>62</v>
      </c>
      <c r="C5" s="2">
        <v>43647</v>
      </c>
      <c r="D5" s="5" t="s">
        <v>12</v>
      </c>
      <c r="E5" s="8" t="s">
        <v>81</v>
      </c>
      <c r="F5" s="7" t="s">
        <v>95</v>
      </c>
    </row>
    <row r="6" spans="1:6" x14ac:dyDescent="0.3">
      <c r="A6" t="s">
        <v>166</v>
      </c>
      <c r="B6" t="s">
        <v>62</v>
      </c>
      <c r="C6" s="2">
        <v>43344</v>
      </c>
      <c r="D6" s="5" t="s">
        <v>23</v>
      </c>
      <c r="E6" s="8" t="s">
        <v>81</v>
      </c>
      <c r="F6" s="7" t="s">
        <v>95</v>
      </c>
    </row>
    <row r="7" spans="1:6" x14ac:dyDescent="0.3">
      <c r="A7" t="s">
        <v>167</v>
      </c>
      <c r="B7" t="s">
        <v>62</v>
      </c>
      <c r="C7" s="2">
        <v>43647</v>
      </c>
      <c r="D7" s="5" t="s">
        <v>23</v>
      </c>
      <c r="E7" s="8" t="s">
        <v>81</v>
      </c>
      <c r="F7" s="7" t="s">
        <v>91</v>
      </c>
    </row>
    <row r="8" spans="1:6" x14ac:dyDescent="0.3">
      <c r="A8" t="s">
        <v>168</v>
      </c>
      <c r="B8" t="s">
        <v>62</v>
      </c>
      <c r="C8" s="2">
        <v>43344</v>
      </c>
      <c r="D8" s="5" t="s">
        <v>68</v>
      </c>
      <c r="E8" s="8" t="s">
        <v>82</v>
      </c>
      <c r="F8" s="7" t="s">
        <v>91</v>
      </c>
    </row>
    <row r="9" spans="1:6" x14ac:dyDescent="0.3">
      <c r="A9" t="s">
        <v>169</v>
      </c>
      <c r="B9" t="s">
        <v>62</v>
      </c>
      <c r="C9" s="2">
        <v>43435</v>
      </c>
      <c r="D9" s="5" t="s">
        <v>69</v>
      </c>
      <c r="E9" s="8" t="s">
        <v>83</v>
      </c>
      <c r="F9" s="7" t="s">
        <v>96</v>
      </c>
    </row>
    <row r="10" spans="1:6" x14ac:dyDescent="0.3">
      <c r="A10" s="1" t="s">
        <v>170</v>
      </c>
      <c r="B10" t="s">
        <v>62</v>
      </c>
      <c r="C10" s="2">
        <v>44562</v>
      </c>
      <c r="D10" s="5" t="s">
        <v>9</v>
      </c>
      <c r="E10" s="8" t="s">
        <v>81</v>
      </c>
      <c r="F10" s="7" t="s">
        <v>97</v>
      </c>
    </row>
    <row r="11" spans="1:6" x14ac:dyDescent="0.3">
      <c r="A11" t="s">
        <v>171</v>
      </c>
      <c r="B11" t="s">
        <v>62</v>
      </c>
      <c r="C11" s="2">
        <v>44866</v>
      </c>
      <c r="D11" s="5" t="s">
        <v>9</v>
      </c>
      <c r="E11" s="8" t="s">
        <v>81</v>
      </c>
      <c r="F11" s="7" t="s">
        <v>97</v>
      </c>
    </row>
    <row r="12" spans="1:6" x14ac:dyDescent="0.3">
      <c r="A12" t="s">
        <v>172</v>
      </c>
      <c r="B12" t="s">
        <v>62</v>
      </c>
      <c r="C12" s="2">
        <v>44228</v>
      </c>
      <c r="D12" s="5" t="s">
        <v>10</v>
      </c>
      <c r="E12" s="8" t="s">
        <v>80</v>
      </c>
      <c r="F12" s="7" t="s">
        <v>98</v>
      </c>
    </row>
    <row r="13" spans="1:6" x14ac:dyDescent="0.3">
      <c r="A13" t="s">
        <v>173</v>
      </c>
      <c r="B13" t="s">
        <v>62</v>
      </c>
      <c r="C13" s="2">
        <v>44166</v>
      </c>
      <c r="D13" s="5" t="s">
        <v>11</v>
      </c>
      <c r="E13" s="8" t="s">
        <v>81</v>
      </c>
      <c r="F13" s="7" t="s">
        <v>99</v>
      </c>
    </row>
    <row r="14" spans="1:6" x14ac:dyDescent="0.3">
      <c r="A14" t="s">
        <v>174</v>
      </c>
      <c r="B14" t="s">
        <v>62</v>
      </c>
      <c r="C14" s="2">
        <v>44105</v>
      </c>
      <c r="D14" s="5" t="s">
        <v>12</v>
      </c>
      <c r="E14" s="8" t="s">
        <v>81</v>
      </c>
      <c r="F14" s="7" t="s">
        <v>100</v>
      </c>
    </row>
    <row r="15" spans="1:6" x14ac:dyDescent="0.3">
      <c r="A15" t="s">
        <v>175</v>
      </c>
      <c r="B15" t="s">
        <v>62</v>
      </c>
      <c r="C15" s="2">
        <v>44348</v>
      </c>
      <c r="D15" s="5" t="s">
        <v>22</v>
      </c>
      <c r="E15" s="8" t="s">
        <v>81</v>
      </c>
      <c r="F15" s="7" t="s">
        <v>101</v>
      </c>
    </row>
    <row r="16" spans="1:6" x14ac:dyDescent="0.3">
      <c r="A16" t="s">
        <v>176</v>
      </c>
      <c r="B16" t="s">
        <v>62</v>
      </c>
      <c r="C16" s="2">
        <v>44075</v>
      </c>
      <c r="D16" s="5" t="s">
        <v>23</v>
      </c>
      <c r="E16" s="8" t="s">
        <v>84</v>
      </c>
      <c r="F16" s="7" t="s">
        <v>102</v>
      </c>
    </row>
    <row r="17" spans="1:6" x14ac:dyDescent="0.3">
      <c r="A17" t="s">
        <v>177</v>
      </c>
      <c r="B17" t="s">
        <v>62</v>
      </c>
      <c r="C17" s="2">
        <v>44348</v>
      </c>
      <c r="D17" s="5" t="s">
        <v>68</v>
      </c>
      <c r="E17" s="8" t="s">
        <v>80</v>
      </c>
      <c r="F17" s="7" t="s">
        <v>103</v>
      </c>
    </row>
    <row r="18" spans="1:6" x14ac:dyDescent="0.3">
      <c r="A18" t="s">
        <v>178</v>
      </c>
      <c r="B18" t="s">
        <v>62</v>
      </c>
      <c r="C18" s="2">
        <v>44562</v>
      </c>
      <c r="D18" s="5" t="s">
        <v>21</v>
      </c>
      <c r="E18" s="8" t="s">
        <v>80</v>
      </c>
      <c r="F18" s="7" t="s">
        <v>103</v>
      </c>
    </row>
    <row r="19" spans="1:6" x14ac:dyDescent="0.3">
      <c r="A19" t="s">
        <v>179</v>
      </c>
      <c r="B19" t="s">
        <v>62</v>
      </c>
      <c r="C19" s="2">
        <v>44075</v>
      </c>
      <c r="D19" s="5" t="s">
        <v>70</v>
      </c>
      <c r="E19" s="8" t="s">
        <v>83</v>
      </c>
      <c r="F19" s="7" t="s">
        <v>103</v>
      </c>
    </row>
    <row r="20" spans="1:6" x14ac:dyDescent="0.3">
      <c r="A20" t="s">
        <v>180</v>
      </c>
      <c r="B20" t="s">
        <v>62</v>
      </c>
      <c r="C20" s="2">
        <v>44621</v>
      </c>
      <c r="D20" s="5" t="s">
        <v>71</v>
      </c>
      <c r="E20" s="8" t="s">
        <v>83</v>
      </c>
      <c r="F20" s="7" t="s">
        <v>104</v>
      </c>
    </row>
    <row r="21" spans="1:6" x14ac:dyDescent="0.3">
      <c r="A21" s="1" t="s">
        <v>181</v>
      </c>
      <c r="B21" t="s">
        <v>62</v>
      </c>
      <c r="C21" s="2">
        <v>45078</v>
      </c>
      <c r="D21" s="5" t="s">
        <v>14</v>
      </c>
      <c r="E21" s="8" t="s">
        <v>81</v>
      </c>
      <c r="F21" s="7" t="s">
        <v>105</v>
      </c>
    </row>
    <row r="22" spans="1:6" x14ac:dyDescent="0.3">
      <c r="A22" t="s">
        <v>182</v>
      </c>
      <c r="B22" t="s">
        <v>62</v>
      </c>
      <c r="C22" s="2">
        <v>45047</v>
      </c>
      <c r="D22" s="5" t="s">
        <v>12</v>
      </c>
      <c r="E22" s="8" t="s">
        <v>85</v>
      </c>
      <c r="F22" s="7" t="s">
        <v>90</v>
      </c>
    </row>
    <row r="23" spans="1:6" x14ac:dyDescent="0.3">
      <c r="A23" t="s">
        <v>183</v>
      </c>
      <c r="B23" t="s">
        <v>62</v>
      </c>
      <c r="C23" s="2">
        <v>45017</v>
      </c>
      <c r="D23" s="5" t="s">
        <v>22</v>
      </c>
      <c r="E23" s="8" t="s">
        <v>80</v>
      </c>
      <c r="F23" s="7" t="s">
        <v>99</v>
      </c>
    </row>
    <row r="24" spans="1:6" x14ac:dyDescent="0.3">
      <c r="A24" t="s">
        <v>184</v>
      </c>
      <c r="B24" t="s">
        <v>62</v>
      </c>
      <c r="C24" s="2">
        <v>45292</v>
      </c>
      <c r="D24" s="5" t="s">
        <v>22</v>
      </c>
      <c r="E24" s="8" t="s">
        <v>80</v>
      </c>
      <c r="F24" s="7" t="s">
        <v>100</v>
      </c>
    </row>
    <row r="25" spans="1:6" x14ac:dyDescent="0.3">
      <c r="A25" t="s">
        <v>185</v>
      </c>
      <c r="B25" t="s">
        <v>62</v>
      </c>
      <c r="C25" s="2">
        <v>44927</v>
      </c>
      <c r="D25" s="5" t="s">
        <v>21</v>
      </c>
      <c r="E25" s="8" t="s">
        <v>80</v>
      </c>
      <c r="F25" s="7" t="s">
        <v>106</v>
      </c>
    </row>
    <row r="26" spans="1:6" x14ac:dyDescent="0.3">
      <c r="A26" t="s">
        <v>186</v>
      </c>
      <c r="B26" t="s">
        <v>62</v>
      </c>
      <c r="C26" s="2">
        <v>45292</v>
      </c>
      <c r="D26" s="5" t="s">
        <v>21</v>
      </c>
      <c r="E26" s="8" t="s">
        <v>85</v>
      </c>
      <c r="F26" s="7" t="s">
        <v>106</v>
      </c>
    </row>
    <row r="27" spans="1:6" x14ac:dyDescent="0.3">
      <c r="A27" t="s">
        <v>187</v>
      </c>
      <c r="B27" t="s">
        <v>62</v>
      </c>
      <c r="C27" s="2">
        <v>44866</v>
      </c>
      <c r="D27" s="5" t="s">
        <v>68</v>
      </c>
      <c r="E27" s="8" t="s">
        <v>85</v>
      </c>
      <c r="F27" s="7" t="s">
        <v>102</v>
      </c>
    </row>
    <row r="28" spans="1:6" x14ac:dyDescent="0.3">
      <c r="A28" t="s">
        <v>188</v>
      </c>
      <c r="B28" t="s">
        <v>62</v>
      </c>
      <c r="C28" s="2">
        <v>45292</v>
      </c>
      <c r="D28" s="5" t="s">
        <v>65</v>
      </c>
      <c r="E28" s="8" t="s">
        <v>85</v>
      </c>
      <c r="F28" s="7" t="s">
        <v>102</v>
      </c>
    </row>
    <row r="29" spans="1:6" x14ac:dyDescent="0.3">
      <c r="A29" t="s">
        <v>189</v>
      </c>
      <c r="B29" t="s">
        <v>62</v>
      </c>
      <c r="C29" s="2">
        <v>44835</v>
      </c>
      <c r="D29" s="5" t="s">
        <v>72</v>
      </c>
      <c r="E29" s="8" t="s">
        <v>83</v>
      </c>
      <c r="F29" s="7" t="s">
        <v>104</v>
      </c>
    </row>
    <row r="30" spans="1:6" x14ac:dyDescent="0.3">
      <c r="A30" s="1" t="s">
        <v>190</v>
      </c>
      <c r="B30" t="s">
        <v>62</v>
      </c>
      <c r="C30" s="2">
        <v>45839</v>
      </c>
      <c r="D30" s="5" t="s">
        <v>9</v>
      </c>
      <c r="E30" s="8" t="s">
        <v>81</v>
      </c>
      <c r="F30" s="7" t="s">
        <v>97</v>
      </c>
    </row>
    <row r="31" spans="1:6" x14ac:dyDescent="0.3">
      <c r="A31" t="s">
        <v>191</v>
      </c>
      <c r="B31" t="s">
        <v>62</v>
      </c>
      <c r="C31" s="2">
        <v>45778</v>
      </c>
      <c r="D31" s="5" t="s">
        <v>14</v>
      </c>
      <c r="E31" s="8" t="s">
        <v>80</v>
      </c>
      <c r="F31" s="7" t="s">
        <v>89</v>
      </c>
    </row>
    <row r="32" spans="1:6" x14ac:dyDescent="0.3">
      <c r="A32" t="s">
        <v>192</v>
      </c>
      <c r="B32" t="s">
        <v>62</v>
      </c>
      <c r="C32" s="2">
        <v>45748</v>
      </c>
      <c r="D32" s="5" t="s">
        <v>19</v>
      </c>
      <c r="E32" s="8" t="s">
        <v>85</v>
      </c>
      <c r="F32" s="7" t="s">
        <v>92</v>
      </c>
    </row>
    <row r="33" spans="1:6" x14ac:dyDescent="0.3">
      <c r="A33" t="s">
        <v>193</v>
      </c>
      <c r="B33" t="s">
        <v>62</v>
      </c>
      <c r="C33" s="2">
        <v>45717</v>
      </c>
      <c r="D33" s="5" t="s">
        <v>20</v>
      </c>
      <c r="E33" s="8" t="s">
        <v>80</v>
      </c>
      <c r="F33" s="7" t="s">
        <v>91</v>
      </c>
    </row>
    <row r="34" spans="1:6" x14ac:dyDescent="0.3">
      <c r="A34" t="s">
        <v>194</v>
      </c>
      <c r="B34" t="s">
        <v>62</v>
      </c>
      <c r="C34" s="2">
        <v>45689</v>
      </c>
      <c r="D34" s="5" t="s">
        <v>16</v>
      </c>
      <c r="E34" s="8" t="s">
        <v>85</v>
      </c>
      <c r="F34" s="7" t="s">
        <v>107</v>
      </c>
    </row>
    <row r="35" spans="1:6" x14ac:dyDescent="0.3">
      <c r="A35" t="s">
        <v>195</v>
      </c>
      <c r="B35" t="s">
        <v>62</v>
      </c>
      <c r="C35" s="2">
        <v>45658</v>
      </c>
      <c r="D35" s="5" t="s">
        <v>65</v>
      </c>
      <c r="E35" s="8" t="s">
        <v>85</v>
      </c>
      <c r="F35" s="7" t="s">
        <v>108</v>
      </c>
    </row>
    <row r="36" spans="1:6" x14ac:dyDescent="0.3">
      <c r="A36" t="s">
        <v>196</v>
      </c>
      <c r="B36" t="s">
        <v>62</v>
      </c>
      <c r="C36" s="2">
        <v>45658</v>
      </c>
      <c r="D36" s="5" t="s">
        <v>71</v>
      </c>
      <c r="E36" s="8" t="s">
        <v>86</v>
      </c>
      <c r="F36" s="7" t="s">
        <v>109</v>
      </c>
    </row>
    <row r="37" spans="1:6" x14ac:dyDescent="0.3">
      <c r="A37" t="s">
        <v>197</v>
      </c>
      <c r="B37" t="s">
        <v>63</v>
      </c>
      <c r="C37" s="2">
        <v>43647</v>
      </c>
      <c r="D37" s="5" t="s">
        <v>67</v>
      </c>
      <c r="E37" s="8" t="s">
        <v>81</v>
      </c>
      <c r="F37" s="7" t="s">
        <v>92</v>
      </c>
    </row>
    <row r="38" spans="1:6" x14ac:dyDescent="0.3">
      <c r="A38" t="s">
        <v>198</v>
      </c>
      <c r="B38" t="s">
        <v>63</v>
      </c>
      <c r="C38" s="2">
        <v>43647</v>
      </c>
      <c r="D38" s="5" t="s">
        <v>11</v>
      </c>
      <c r="E38" s="8" t="s">
        <v>81</v>
      </c>
      <c r="F38" s="7" t="s">
        <v>110</v>
      </c>
    </row>
    <row r="39" spans="1:6" x14ac:dyDescent="0.3">
      <c r="A39" t="s">
        <v>199</v>
      </c>
      <c r="B39" t="s">
        <v>63</v>
      </c>
      <c r="C39" s="2">
        <v>44562</v>
      </c>
      <c r="D39" s="5" t="s">
        <v>15</v>
      </c>
      <c r="E39" s="8" t="s">
        <v>78</v>
      </c>
      <c r="F39" s="7" t="s">
        <v>111</v>
      </c>
    </row>
    <row r="40" spans="1:6" x14ac:dyDescent="0.3">
      <c r="A40" t="s">
        <v>200</v>
      </c>
      <c r="B40" t="s">
        <v>63</v>
      </c>
      <c r="C40" s="2">
        <v>44562</v>
      </c>
      <c r="D40" s="5" t="s">
        <v>13</v>
      </c>
      <c r="E40" s="8" t="s">
        <v>78</v>
      </c>
      <c r="F40" s="7" t="s">
        <v>112</v>
      </c>
    </row>
    <row r="41" spans="1:6" x14ac:dyDescent="0.3">
      <c r="A41" t="s">
        <v>201</v>
      </c>
      <c r="B41" t="s">
        <v>63</v>
      </c>
      <c r="C41" s="2">
        <v>44470</v>
      </c>
      <c r="D41" s="5" t="s">
        <v>10</v>
      </c>
      <c r="E41" s="8" t="s">
        <v>81</v>
      </c>
      <c r="F41" s="7" t="s">
        <v>113</v>
      </c>
    </row>
    <row r="42" spans="1:6" x14ac:dyDescent="0.3">
      <c r="A42" t="s">
        <v>202</v>
      </c>
      <c r="B42" t="s">
        <v>63</v>
      </c>
      <c r="C42" s="2">
        <v>44409</v>
      </c>
      <c r="D42" s="5" t="s">
        <v>66</v>
      </c>
      <c r="E42" s="8" t="s">
        <v>80</v>
      </c>
      <c r="F42" s="7" t="s">
        <v>93</v>
      </c>
    </row>
    <row r="43" spans="1:6" x14ac:dyDescent="0.3">
      <c r="A43" t="s">
        <v>203</v>
      </c>
      <c r="B43" t="s">
        <v>63</v>
      </c>
      <c r="C43" s="2">
        <v>44682</v>
      </c>
      <c r="D43" s="5" t="s">
        <v>11</v>
      </c>
      <c r="E43" s="8" t="s">
        <v>81</v>
      </c>
      <c r="F43" s="7" t="s">
        <v>92</v>
      </c>
    </row>
    <row r="44" spans="1:6" x14ac:dyDescent="0.3">
      <c r="A44" t="s">
        <v>204</v>
      </c>
      <c r="B44" t="s">
        <v>63</v>
      </c>
      <c r="C44" s="2">
        <v>44256</v>
      </c>
      <c r="D44" s="5" t="s">
        <v>17</v>
      </c>
      <c r="E44" s="8" t="s">
        <v>80</v>
      </c>
      <c r="F44" s="7" t="s">
        <v>94</v>
      </c>
    </row>
    <row r="45" spans="1:6" x14ac:dyDescent="0.3">
      <c r="A45" t="s">
        <v>205</v>
      </c>
      <c r="B45" t="s">
        <v>63</v>
      </c>
      <c r="C45" s="2">
        <v>44256</v>
      </c>
      <c r="D45" s="5" t="s">
        <v>24</v>
      </c>
      <c r="E45" s="8" t="s">
        <v>80</v>
      </c>
      <c r="F45" s="7" t="s">
        <v>114</v>
      </c>
    </row>
    <row r="46" spans="1:6" x14ac:dyDescent="0.3">
      <c r="A46" t="s">
        <v>206</v>
      </c>
      <c r="B46" t="s">
        <v>63</v>
      </c>
      <c r="C46" s="2">
        <v>44682</v>
      </c>
      <c r="D46" s="5" t="s">
        <v>20</v>
      </c>
      <c r="E46" s="8" t="s">
        <v>80</v>
      </c>
      <c r="F46" s="7" t="s">
        <v>91</v>
      </c>
    </row>
    <row r="47" spans="1:6" x14ac:dyDescent="0.3">
      <c r="A47" t="s">
        <v>207</v>
      </c>
      <c r="B47" t="s">
        <v>63</v>
      </c>
      <c r="C47" s="2">
        <v>44136</v>
      </c>
      <c r="D47" s="5" t="s">
        <v>73</v>
      </c>
      <c r="E47" s="8" t="s">
        <v>85</v>
      </c>
      <c r="F47" s="7" t="s">
        <v>91</v>
      </c>
    </row>
    <row r="48" spans="1:6" x14ac:dyDescent="0.3">
      <c r="A48" t="s">
        <v>208</v>
      </c>
      <c r="B48" t="s">
        <v>63</v>
      </c>
      <c r="C48" s="2">
        <v>44136</v>
      </c>
      <c r="D48" s="5" t="s">
        <v>25</v>
      </c>
      <c r="E48" s="8" t="s">
        <v>85</v>
      </c>
      <c r="F48" s="7" t="s">
        <v>107</v>
      </c>
    </row>
    <row r="49" spans="1:6" x14ac:dyDescent="0.3">
      <c r="A49" t="s">
        <v>209</v>
      </c>
      <c r="B49" t="s">
        <v>63</v>
      </c>
      <c r="C49" s="2">
        <v>44166</v>
      </c>
      <c r="D49" s="5" t="s">
        <v>65</v>
      </c>
      <c r="E49" s="8" t="s">
        <v>85</v>
      </c>
      <c r="F49" s="7" t="s">
        <v>107</v>
      </c>
    </row>
    <row r="50" spans="1:6" x14ac:dyDescent="0.3">
      <c r="A50" t="s">
        <v>210</v>
      </c>
      <c r="B50" t="s">
        <v>63</v>
      </c>
      <c r="C50" s="2">
        <v>44682</v>
      </c>
      <c r="D50" s="5" t="s">
        <v>74</v>
      </c>
      <c r="E50" s="8" t="s">
        <v>85</v>
      </c>
      <c r="F50" s="7" t="s">
        <v>115</v>
      </c>
    </row>
    <row r="51" spans="1:6" x14ac:dyDescent="0.3">
      <c r="A51" t="s">
        <v>211</v>
      </c>
      <c r="B51" t="s">
        <v>63</v>
      </c>
      <c r="C51" s="2">
        <v>45047</v>
      </c>
      <c r="D51" s="5" t="s">
        <v>75</v>
      </c>
      <c r="E51" s="8" t="s">
        <v>81</v>
      </c>
      <c r="F51" s="7" t="s">
        <v>90</v>
      </c>
    </row>
    <row r="52" spans="1:6" x14ac:dyDescent="0.3">
      <c r="A52" t="s">
        <v>212</v>
      </c>
      <c r="B52" t="s">
        <v>63</v>
      </c>
      <c r="C52" s="2">
        <v>45292</v>
      </c>
      <c r="D52" s="5" t="s">
        <v>10</v>
      </c>
      <c r="E52" s="8" t="s">
        <v>85</v>
      </c>
      <c r="F52" s="7" t="s">
        <v>116</v>
      </c>
    </row>
    <row r="53" spans="1:6" x14ac:dyDescent="0.3">
      <c r="A53" t="s">
        <v>213</v>
      </c>
      <c r="B53" t="s">
        <v>63</v>
      </c>
      <c r="C53" s="2">
        <v>45170</v>
      </c>
      <c r="D53" s="5" t="s">
        <v>18</v>
      </c>
      <c r="E53" s="8" t="s">
        <v>80</v>
      </c>
      <c r="F53" s="7" t="s">
        <v>117</v>
      </c>
    </row>
    <row r="54" spans="1:6" x14ac:dyDescent="0.3">
      <c r="A54" t="s">
        <v>214</v>
      </c>
      <c r="B54" t="s">
        <v>63</v>
      </c>
      <c r="C54" s="2">
        <v>45170</v>
      </c>
      <c r="D54" s="5" t="s">
        <v>12</v>
      </c>
      <c r="E54" s="8" t="s">
        <v>85</v>
      </c>
      <c r="F54" s="7" t="s">
        <v>118</v>
      </c>
    </row>
    <row r="55" spans="1:6" x14ac:dyDescent="0.3">
      <c r="A55" t="s">
        <v>215</v>
      </c>
      <c r="B55" t="s">
        <v>63</v>
      </c>
      <c r="C55" s="2">
        <v>45323</v>
      </c>
      <c r="D55" s="5" t="s">
        <v>20</v>
      </c>
      <c r="E55" s="8" t="s">
        <v>85</v>
      </c>
      <c r="F55" s="7" t="s">
        <v>119</v>
      </c>
    </row>
    <row r="56" spans="1:6" x14ac:dyDescent="0.3">
      <c r="A56" t="s">
        <v>216</v>
      </c>
      <c r="B56" t="s">
        <v>63</v>
      </c>
      <c r="C56" s="2">
        <v>44896</v>
      </c>
      <c r="D56" s="5" t="s">
        <v>76</v>
      </c>
      <c r="E56" s="8" t="s">
        <v>87</v>
      </c>
      <c r="F56" s="7" t="s">
        <v>120</v>
      </c>
    </row>
    <row r="57" spans="1:6" x14ac:dyDescent="0.3">
      <c r="A57" t="s">
        <v>217</v>
      </c>
      <c r="B57" t="s">
        <v>63</v>
      </c>
      <c r="C57" s="2">
        <v>44896</v>
      </c>
      <c r="D57" s="5" t="s">
        <v>65</v>
      </c>
      <c r="E57" s="8" t="s">
        <v>83</v>
      </c>
      <c r="F57" s="7" t="s">
        <v>121</v>
      </c>
    </row>
    <row r="58" spans="1:6" x14ac:dyDescent="0.3">
      <c r="A58" t="s">
        <v>218</v>
      </c>
      <c r="B58" t="s">
        <v>63</v>
      </c>
      <c r="C58" s="2">
        <v>45778</v>
      </c>
      <c r="D58" s="5" t="s">
        <v>9</v>
      </c>
      <c r="E58" s="8" t="s">
        <v>80</v>
      </c>
      <c r="F58" s="7" t="s">
        <v>113</v>
      </c>
    </row>
    <row r="59" spans="1:6" x14ac:dyDescent="0.3">
      <c r="A59" t="s">
        <v>219</v>
      </c>
      <c r="B59" t="s">
        <v>63</v>
      </c>
      <c r="C59" s="2">
        <v>45778</v>
      </c>
      <c r="D59" s="5" t="s">
        <v>67</v>
      </c>
      <c r="E59" s="8" t="s">
        <v>85</v>
      </c>
      <c r="F59" s="7" t="s">
        <v>93</v>
      </c>
    </row>
    <row r="60" spans="1:6" x14ac:dyDescent="0.3">
      <c r="A60" t="s">
        <v>220</v>
      </c>
      <c r="B60" t="s">
        <v>63</v>
      </c>
      <c r="C60" s="2">
        <v>45717</v>
      </c>
      <c r="D60" s="5" t="s">
        <v>18</v>
      </c>
      <c r="E60" s="8" t="s">
        <v>80</v>
      </c>
      <c r="F60" s="7" t="s">
        <v>100</v>
      </c>
    </row>
    <row r="61" spans="1:6" x14ac:dyDescent="0.3">
      <c r="A61" t="s">
        <v>221</v>
      </c>
      <c r="B61" t="s">
        <v>63</v>
      </c>
      <c r="C61" s="2">
        <v>45717</v>
      </c>
      <c r="D61" s="5" t="s">
        <v>22</v>
      </c>
      <c r="E61" s="8" t="s">
        <v>85</v>
      </c>
      <c r="F61" s="7" t="s">
        <v>122</v>
      </c>
    </row>
    <row r="62" spans="1:6" x14ac:dyDescent="0.3">
      <c r="A62" t="s">
        <v>222</v>
      </c>
      <c r="B62" t="s">
        <v>63</v>
      </c>
      <c r="C62" s="2">
        <v>45809</v>
      </c>
      <c r="D62" s="5" t="s">
        <v>20</v>
      </c>
      <c r="E62" s="8" t="s">
        <v>80</v>
      </c>
      <c r="F62" s="7" t="s">
        <v>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C909-C68B-4A04-8903-1C8AAA815D0A}">
  <dimension ref="A1:F13"/>
  <sheetViews>
    <sheetView workbookViewId="0">
      <pane ySplit="1" topLeftCell="A2" activePane="bottomLeft" state="frozen"/>
      <selection pane="bottomLeft" activeCell="G1" sqref="G1:G1048576"/>
    </sheetView>
  </sheetViews>
  <sheetFormatPr defaultRowHeight="14.4" x14ac:dyDescent="0.3"/>
  <cols>
    <col min="1" max="1" width="31" customWidth="1"/>
    <col min="3" max="3" width="8.5546875" customWidth="1"/>
    <col min="4" max="4" width="13.6640625" customWidth="1"/>
    <col min="5" max="5" width="8.77734375" customWidth="1"/>
    <col min="6" max="6" width="9.109375" customWidth="1"/>
    <col min="10" max="10" width="26.6640625" customWidth="1"/>
  </cols>
  <sheetData>
    <row r="1" spans="1:6" x14ac:dyDescent="0.3">
      <c r="A1" s="12" t="s">
        <v>156</v>
      </c>
      <c r="B1" s="12" t="s">
        <v>2</v>
      </c>
      <c r="C1" s="12" t="s">
        <v>157</v>
      </c>
      <c r="D1" s="12" t="s">
        <v>158</v>
      </c>
      <c r="E1" s="12" t="s">
        <v>26</v>
      </c>
      <c r="F1" s="12" t="s">
        <v>159</v>
      </c>
    </row>
    <row r="2" spans="1:6" x14ac:dyDescent="0.3">
      <c r="A2" t="s">
        <v>130</v>
      </c>
      <c r="B2" t="s">
        <v>3</v>
      </c>
      <c r="C2" t="s">
        <v>131</v>
      </c>
      <c r="D2" t="s">
        <v>128</v>
      </c>
      <c r="E2" s="10">
        <v>55</v>
      </c>
      <c r="F2" s="11" t="s">
        <v>132</v>
      </c>
    </row>
    <row r="3" spans="1:6" x14ac:dyDescent="0.3">
      <c r="A3" t="s">
        <v>133</v>
      </c>
      <c r="B3" t="s">
        <v>3</v>
      </c>
      <c r="C3" t="s">
        <v>134</v>
      </c>
      <c r="D3" t="s">
        <v>128</v>
      </c>
      <c r="E3" s="10">
        <v>85</v>
      </c>
      <c r="F3" s="11" t="s">
        <v>132</v>
      </c>
    </row>
    <row r="4" spans="1:6" x14ac:dyDescent="0.3">
      <c r="A4" t="s">
        <v>135</v>
      </c>
      <c r="B4" t="s">
        <v>3</v>
      </c>
      <c r="C4" t="s">
        <v>136</v>
      </c>
      <c r="D4" t="s">
        <v>128</v>
      </c>
      <c r="E4" s="10">
        <v>60</v>
      </c>
      <c r="F4" s="11" t="s">
        <v>132</v>
      </c>
    </row>
    <row r="5" spans="1:6" x14ac:dyDescent="0.3">
      <c r="A5" t="s">
        <v>137</v>
      </c>
      <c r="B5" t="s">
        <v>3</v>
      </c>
      <c r="C5" t="s">
        <v>138</v>
      </c>
      <c r="D5" t="s">
        <v>128</v>
      </c>
      <c r="E5" s="10">
        <v>130</v>
      </c>
      <c r="F5" s="11" t="s">
        <v>139</v>
      </c>
    </row>
    <row r="6" spans="1:6" x14ac:dyDescent="0.3">
      <c r="A6" t="s">
        <v>140</v>
      </c>
      <c r="B6" t="s">
        <v>3</v>
      </c>
      <c r="C6" t="s">
        <v>141</v>
      </c>
      <c r="D6" t="s">
        <v>128</v>
      </c>
      <c r="E6" s="10">
        <v>190</v>
      </c>
      <c r="F6" s="11" t="s">
        <v>139</v>
      </c>
    </row>
    <row r="7" spans="1:6" x14ac:dyDescent="0.3">
      <c r="A7" t="s">
        <v>142</v>
      </c>
      <c r="B7" t="s">
        <v>3</v>
      </c>
      <c r="C7" t="s">
        <v>141</v>
      </c>
      <c r="D7" t="s">
        <v>128</v>
      </c>
      <c r="E7" s="10">
        <v>400</v>
      </c>
      <c r="F7" s="11" t="s">
        <v>143</v>
      </c>
    </row>
    <row r="8" spans="1:6" x14ac:dyDescent="0.3">
      <c r="A8" t="s">
        <v>144</v>
      </c>
      <c r="B8" t="s">
        <v>4</v>
      </c>
      <c r="C8" t="s">
        <v>145</v>
      </c>
      <c r="D8" t="s">
        <v>129</v>
      </c>
      <c r="E8" s="10">
        <v>90</v>
      </c>
      <c r="F8" s="11" t="s">
        <v>132</v>
      </c>
    </row>
    <row r="9" spans="1:6" x14ac:dyDescent="0.3">
      <c r="A9" t="s">
        <v>146</v>
      </c>
      <c r="B9" t="s">
        <v>4</v>
      </c>
      <c r="C9" t="s">
        <v>147</v>
      </c>
      <c r="D9" t="s">
        <v>129</v>
      </c>
      <c r="E9" s="10">
        <v>190</v>
      </c>
      <c r="F9" s="11" t="s">
        <v>139</v>
      </c>
    </row>
    <row r="10" spans="1:6" x14ac:dyDescent="0.3">
      <c r="A10" t="s">
        <v>148</v>
      </c>
      <c r="B10" t="s">
        <v>4</v>
      </c>
      <c r="C10" t="s">
        <v>149</v>
      </c>
      <c r="D10" t="s">
        <v>129</v>
      </c>
      <c r="E10" s="10">
        <v>330</v>
      </c>
      <c r="F10" s="11" t="s">
        <v>143</v>
      </c>
    </row>
    <row r="11" spans="1:6" x14ac:dyDescent="0.3">
      <c r="A11" t="s">
        <v>150</v>
      </c>
      <c r="B11" t="s">
        <v>4</v>
      </c>
      <c r="C11" t="s">
        <v>151</v>
      </c>
      <c r="D11" t="s">
        <v>129</v>
      </c>
      <c r="E11" s="10">
        <v>400</v>
      </c>
      <c r="F11" s="11" t="s">
        <v>143</v>
      </c>
    </row>
    <row r="12" spans="1:6" x14ac:dyDescent="0.3">
      <c r="A12" t="s">
        <v>152</v>
      </c>
      <c r="B12" t="s">
        <v>4</v>
      </c>
      <c r="C12" t="s">
        <v>153</v>
      </c>
      <c r="D12" t="s">
        <v>129</v>
      </c>
      <c r="E12" s="10">
        <v>220</v>
      </c>
      <c r="F12" s="11" t="s">
        <v>139</v>
      </c>
    </row>
    <row r="13" spans="1:6" x14ac:dyDescent="0.3">
      <c r="A13" t="s">
        <v>154</v>
      </c>
      <c r="B13" t="s">
        <v>4</v>
      </c>
      <c r="C13" t="s">
        <v>155</v>
      </c>
      <c r="D13" t="s">
        <v>129</v>
      </c>
      <c r="E13" s="10">
        <v>700</v>
      </c>
      <c r="F13" s="11" t="s">
        <v>143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88162-781A-4F14-8256-55A98C0629E7}">
  <dimension ref="A1:P28"/>
  <sheetViews>
    <sheetView showGridLines="0" showRowColHeaders="0" tabSelected="1" topLeftCell="E1" zoomScale="145" zoomScaleNormal="145" workbookViewId="0">
      <selection activeCell="P4" sqref="P4"/>
    </sheetView>
  </sheetViews>
  <sheetFormatPr defaultRowHeight="14.4" x14ac:dyDescent="0.3"/>
  <cols>
    <col min="7" max="7" width="17.77734375" customWidth="1"/>
    <col min="8" max="8" width="8.88671875" hidden="1" customWidth="1"/>
    <col min="13" max="13" width="24" customWidth="1"/>
    <col min="15" max="15" width="16.44140625" customWidth="1"/>
    <col min="16" max="16" width="16.33203125" customWidth="1"/>
    <col min="17" max="17" width="17.6640625" customWidth="1"/>
  </cols>
  <sheetData>
    <row r="1" spans="7:16" ht="30" customHeight="1" x14ac:dyDescent="0.3"/>
    <row r="3" spans="7:16" x14ac:dyDescent="0.3">
      <c r="G3" t="s">
        <v>160</v>
      </c>
      <c r="P3" t="s">
        <v>161</v>
      </c>
    </row>
    <row r="4" spans="7:16" x14ac:dyDescent="0.3">
      <c r="G4" s="49" t="s">
        <v>54</v>
      </c>
      <c r="P4" s="49" t="s">
        <v>188</v>
      </c>
    </row>
    <row r="5" spans="7:16" ht="15" thickBot="1" x14ac:dyDescent="0.35"/>
    <row r="6" spans="7:16" x14ac:dyDescent="0.3">
      <c r="I6" s="15" t="s">
        <v>223</v>
      </c>
      <c r="J6" s="16"/>
      <c r="K6" s="17"/>
      <c r="N6" s="22" t="s">
        <v>226</v>
      </c>
      <c r="O6" s="23"/>
      <c r="P6" s="19"/>
    </row>
    <row r="7" spans="7:16" x14ac:dyDescent="0.3">
      <c r="I7" s="18" t="s">
        <v>224</v>
      </c>
      <c r="J7" s="19"/>
      <c r="K7" s="27">
        <f>_xlfn.XLOOKUP(CPU_NAME,CPU[Processors],CPU[Price])</f>
        <v>279</v>
      </c>
      <c r="N7" s="24" t="s">
        <v>224</v>
      </c>
      <c r="O7" s="30" t="str">
        <f>_xlfn.XLOOKUP(GPU_NAME,GPU[GPU Name],GPU[Price])</f>
        <v>$999</v>
      </c>
      <c r="P7" s="19"/>
    </row>
    <row r="8" spans="7:16" x14ac:dyDescent="0.3">
      <c r="I8" s="18" t="s">
        <v>225</v>
      </c>
      <c r="J8" s="19"/>
      <c r="K8" s="28" t="str">
        <f>_xlfn.XLOOKUP(CPU_NAME,CPU[Processors],CPU[TDP (W)])</f>
        <v>65W</v>
      </c>
      <c r="N8" s="24" t="s">
        <v>225</v>
      </c>
      <c r="O8" s="30" t="str">
        <f>_xlfn.XLOOKUP(GPU_NAME,GPU[GPU Name],GPU[TDP (W)])</f>
        <v>320W</v>
      </c>
      <c r="P8" s="19"/>
    </row>
    <row r="9" spans="7:16" ht="15" thickBot="1" x14ac:dyDescent="0.35">
      <c r="I9" s="20" t="s">
        <v>0</v>
      </c>
      <c r="J9" s="21"/>
      <c r="K9" s="26" t="str">
        <f>_xlfn.XLOOKUP(CPU_NAME,CPU[Processors],CPU[Socket])</f>
        <v>AM5</v>
      </c>
      <c r="N9" s="25" t="s">
        <v>77</v>
      </c>
      <c r="O9" s="29" t="str">
        <f>_xlfn.XLOOKUP(GPU_NAME,GPU[GPU Name],GPU[VRAM])</f>
        <v>16GB</v>
      </c>
      <c r="P9" s="19"/>
    </row>
    <row r="10" spans="7:16" x14ac:dyDescent="0.3">
      <c r="K10" s="31"/>
      <c r="N10" s="35"/>
      <c r="O10" s="36"/>
    </row>
    <row r="11" spans="7:16" x14ac:dyDescent="0.3">
      <c r="I11" s="32" t="s">
        <v>227</v>
      </c>
      <c r="J11" s="63"/>
      <c r="K11" s="59"/>
      <c r="L11" s="61"/>
      <c r="M11" s="59"/>
      <c r="N11" s="32"/>
      <c r="O11" s="34" t="s">
        <v>26</v>
      </c>
    </row>
    <row r="12" spans="7:16" x14ac:dyDescent="0.3">
      <c r="I12" s="64" t="s">
        <v>228</v>
      </c>
      <c r="J12" s="60"/>
      <c r="K12" s="60"/>
      <c r="L12" s="60" t="str">
        <f>_xlfn.XLOOKUP(K9,MOTHERBOARD[Socket],MOTHERBOARD[Motherboard Name])</f>
        <v>ASRock A620M Pro RS</v>
      </c>
      <c r="M12" s="62"/>
      <c r="N12" s="34" t="str">
        <f>_xlfn.XLOOKUP(L12,MOTHERBOARD[Motherboard Name],MOTHERBOARD[Type])</f>
        <v>A620</v>
      </c>
      <c r="O12" s="38">
        <f>_xlfn.XLOOKUP(L12,MOTHERBOARD[Motherboard Name],MOTHERBOARD[Price])</f>
        <v>90</v>
      </c>
    </row>
    <row r="13" spans="7:16" x14ac:dyDescent="0.3">
      <c r="I13" s="65" t="s">
        <v>229</v>
      </c>
      <c r="J13" s="60"/>
      <c r="K13" s="60"/>
      <c r="L13" s="60" t="str">
        <f>_xlfn.XLOOKUP(L12,MOTHERBOARD[Motherboard Name],MOTHERBOARD[Ram Support])</f>
        <v>DDR5</v>
      </c>
      <c r="M13" s="62"/>
      <c r="N13" s="33" t="str">
        <f>IF(BIGTHREE&lt;1000,"16 GB","32 GB")</f>
        <v>32 GB</v>
      </c>
      <c r="O13" s="39" t="str">
        <f>"$" &amp; IF(L13="DDR4",IF(N13="16 GB","100","200"),IF(L13="DDR5",IF(N13="16 GB","200","400")))</f>
        <v>$400</v>
      </c>
    </row>
    <row r="14" spans="7:16" x14ac:dyDescent="0.3">
      <c r="I14" s="66" t="s">
        <v>235</v>
      </c>
      <c r="J14" s="60"/>
      <c r="K14" s="60"/>
      <c r="L14" s="60" t="s">
        <v>236</v>
      </c>
      <c r="M14" s="62"/>
      <c r="N14" s="40" t="str">
        <f>IF(BIGTHREE&lt;1000,"1","2") &amp; "TB"</f>
        <v>2TB</v>
      </c>
      <c r="O14" s="41" t="str">
        <f>"$" &amp; IF(N14="1TB","150","300")</f>
        <v>$300</v>
      </c>
    </row>
    <row r="15" spans="7:16" ht="15" thickBot="1" x14ac:dyDescent="0.35"/>
    <row r="16" spans="7:16" x14ac:dyDescent="0.3">
      <c r="I16" s="42" t="s">
        <v>237</v>
      </c>
      <c r="J16" s="43"/>
      <c r="K16" s="44"/>
      <c r="N16" s="48" t="s">
        <v>238</v>
      </c>
      <c r="O16" s="44"/>
    </row>
    <row r="17" spans="1:15" ht="15" thickBot="1" x14ac:dyDescent="0.35">
      <c r="I17" s="45" t="str">
        <f>CPU_GPU_TDP</f>
        <v>485W</v>
      </c>
      <c r="J17" s="46"/>
      <c r="K17" s="47"/>
      <c r="N17" s="45" t="str">
        <f>IF(VALUE(SUBSTITUTE(CPU_GPU_TDP,"W",""))&lt;700,"750W","1000W")</f>
        <v>750W</v>
      </c>
      <c r="O17" s="47"/>
    </row>
    <row r="18" spans="1:15" ht="15" thickBot="1" x14ac:dyDescent="0.35"/>
    <row r="19" spans="1:15" x14ac:dyDescent="0.3">
      <c r="I19" s="50"/>
      <c r="J19" s="51"/>
      <c r="K19" s="51" t="s">
        <v>239</v>
      </c>
      <c r="L19" s="51"/>
      <c r="M19" s="51"/>
      <c r="N19" s="51"/>
      <c r="O19" s="52"/>
    </row>
    <row r="20" spans="1:15" ht="15" thickBot="1" x14ac:dyDescent="0.35">
      <c r="I20" s="53"/>
      <c r="J20" s="19"/>
      <c r="K20" s="19"/>
      <c r="L20" s="19"/>
      <c r="M20" s="19"/>
      <c r="N20" s="19"/>
      <c r="O20" s="54"/>
    </row>
    <row r="21" spans="1:15" ht="34.200000000000003" thickBot="1" x14ac:dyDescent="0.7">
      <c r="I21" s="53"/>
      <c r="J21" s="19"/>
      <c r="K21" s="19"/>
      <c r="L21" s="19"/>
      <c r="M21" s="58" t="str">
        <f>"$" &amp; SUBSTITUTE(CPU_PRICE,"$","")+SUBSTITUTE(GPU_PRICE,"$","")+SUBSTITUTE(MOTHERBOARD_PRICE,"$","")+SUBSTITUTE(RAM_PRICE,"$","")+SUBSTITUTE(SSD_PRICE,"$","")+100</f>
        <v>$2168</v>
      </c>
      <c r="N21" s="19"/>
      <c r="O21" s="54"/>
    </row>
    <row r="22" spans="1:15" ht="15" thickBot="1" x14ac:dyDescent="0.35">
      <c r="I22" s="55"/>
      <c r="J22" s="56"/>
      <c r="K22" s="56"/>
      <c r="L22" s="56"/>
      <c r="M22" s="56"/>
      <c r="N22" s="56"/>
      <c r="O22" s="57"/>
    </row>
    <row r="28" spans="1:15" ht="28.8" x14ac:dyDescent="0.55000000000000004">
      <c r="A28" s="13"/>
    </row>
  </sheetData>
  <sheetProtection sheet="1" objects="1" scenarios="1" selectLockedCells="1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041B27E-F1CD-459C-ABFD-9AC3D42C587B}">
          <x14:formula1>
            <xm:f>'CPU DATA'!$A$2:$A$35</xm:f>
          </x14:formula1>
          <xm:sqref>G4</xm:sqref>
        </x14:dataValidation>
        <x14:dataValidation type="list" allowBlank="1" showInputMessage="1" showErrorMessage="1" xr:uid="{315FA371-4BBC-444B-8B97-93C31780F5C7}">
          <x14:formula1>
            <xm:f>'GPU DATA'!$A$2:$A$62</xm:f>
          </x14:formula1>
          <xm:sqref>P4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33E8-ABC9-4560-ACCF-2D07602B659F}">
  <dimension ref="A1:C10"/>
  <sheetViews>
    <sheetView workbookViewId="0">
      <selection activeCell="G1" sqref="G1:G1048576"/>
    </sheetView>
  </sheetViews>
  <sheetFormatPr defaultRowHeight="14.4" x14ac:dyDescent="0.3"/>
  <cols>
    <col min="1" max="3" width="10.33203125" customWidth="1"/>
  </cols>
  <sheetData>
    <row r="1" spans="1:3" x14ac:dyDescent="0.3">
      <c r="A1" s="37">
        <f>SUBSTITUTE(CPU_PRICE,"$","") + SUBSTITUTE(GPU_PRICE,"$","")+SUBSTITUTE(MOTHERBOARD_PRICE,"$","")</f>
        <v>1368</v>
      </c>
    </row>
    <row r="4" spans="1:3" x14ac:dyDescent="0.3">
      <c r="A4" t="s">
        <v>232</v>
      </c>
      <c r="B4" t="s">
        <v>233</v>
      </c>
      <c r="C4" t="s">
        <v>234</v>
      </c>
    </row>
    <row r="5" spans="1:3" x14ac:dyDescent="0.3">
      <c r="A5" t="s">
        <v>230</v>
      </c>
      <c r="B5" t="s">
        <v>128</v>
      </c>
      <c r="C5">
        <v>100</v>
      </c>
    </row>
    <row r="6" spans="1:3" x14ac:dyDescent="0.3">
      <c r="A6" t="s">
        <v>231</v>
      </c>
      <c r="B6" t="s">
        <v>128</v>
      </c>
      <c r="C6">
        <v>200</v>
      </c>
    </row>
    <row r="7" spans="1:3" x14ac:dyDescent="0.3">
      <c r="A7" t="s">
        <v>230</v>
      </c>
      <c r="B7" t="s">
        <v>129</v>
      </c>
      <c r="C7">
        <v>200</v>
      </c>
    </row>
    <row r="8" spans="1:3" x14ac:dyDescent="0.3">
      <c r="A8" t="s">
        <v>231</v>
      </c>
      <c r="B8" t="s">
        <v>129</v>
      </c>
      <c r="C8">
        <v>400</v>
      </c>
    </row>
    <row r="10" spans="1:3" x14ac:dyDescent="0.3">
      <c r="A10" t="str">
        <f>SUBSTITUTE(CPU_TDP,"W","") + SUBSTITUTE(GPU_TDP,"W","") + 100 &amp; "W"</f>
        <v>485W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CPU DATA</vt:lpstr>
      <vt:lpstr>GPU DATA</vt:lpstr>
      <vt:lpstr>MOTHERBOARD DATA</vt:lpstr>
      <vt:lpstr>PC BUILDING HELPER</vt:lpstr>
      <vt:lpstr>helper sheet</vt:lpstr>
      <vt:lpstr>BIGTHREE</vt:lpstr>
      <vt:lpstr>CPU_GPU</vt:lpstr>
      <vt:lpstr>CPU_GPU_TDP</vt:lpstr>
      <vt:lpstr>CPU_NAME</vt:lpstr>
      <vt:lpstr>CPU_PRICE</vt:lpstr>
      <vt:lpstr>CPU_TDP</vt:lpstr>
      <vt:lpstr>GPU_NAME</vt:lpstr>
      <vt:lpstr>GPU_PRICE</vt:lpstr>
      <vt:lpstr>GPU_TDP</vt:lpstr>
      <vt:lpstr>MOTHERBOARD_PRICE</vt:lpstr>
      <vt:lpstr>RAM_PRICE</vt:lpstr>
      <vt:lpstr>SSD_PRICE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Ahlawat</dc:creator>
  <cp:lastModifiedBy>Harsh Ahlawat</cp:lastModifiedBy>
  <dcterms:created xsi:type="dcterms:W3CDTF">2026-07-04T05:16:27Z</dcterms:created>
  <dcterms:modified xsi:type="dcterms:W3CDTF">2026-07-05T06:32:58Z</dcterms:modified>
</cp:coreProperties>
</file>